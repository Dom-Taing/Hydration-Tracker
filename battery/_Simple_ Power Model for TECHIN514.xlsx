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" sheetId="1" r:id="rId5"/>
    <sheet state="visible" name="Display" sheetId="2" r:id="rId6"/>
    <sheet state="visible" name="Sensitivity Analysis" sheetId="3" r:id="rId7"/>
  </sheets>
  <definedNames/>
  <calcPr/>
</workbook>
</file>

<file path=xl/sharedStrings.xml><?xml version="1.0" encoding="utf-8"?>
<sst xmlns="http://schemas.openxmlformats.org/spreadsheetml/2006/main" count="130" uniqueCount="58">
  <si>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</si>
  <si>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</si>
  <si>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</si>
  <si>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</si>
  <si>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</si>
  <si>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</si>
  <si>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</si>
  <si>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DataSheet</t>
  </si>
  <si>
    <t>Active</t>
  </si>
  <si>
    <t>mW</t>
  </si>
  <si>
    <t>Idle</t>
  </si>
  <si>
    <t>Sleep</t>
  </si>
  <si>
    <t>Sensor</t>
  </si>
  <si>
    <t>Datasheet</t>
  </si>
  <si>
    <t>On</t>
  </si>
  <si>
    <t>Radio</t>
  </si>
  <si>
    <t>Data Rate</t>
  </si>
  <si>
    <t>Mbps</t>
  </si>
  <si>
    <t>Standby Power</t>
  </si>
  <si>
    <t>TX Power</t>
  </si>
  <si>
    <t>RX Power</t>
  </si>
  <si>
    <t>Total power in profile (mw)</t>
  </si>
  <si>
    <t xml:space="preserve">Maximum Time </t>
  </si>
  <si>
    <t>hours/day typical usage</t>
  </si>
  <si>
    <t>hours</t>
  </si>
  <si>
    <t>Battery</t>
  </si>
  <si>
    <t>Capacity</t>
  </si>
  <si>
    <t>mAh</t>
  </si>
  <si>
    <t>Nominal Voltage</t>
  </si>
  <si>
    <t>V</t>
  </si>
  <si>
    <t>Regulator Efficiency</t>
  </si>
  <si>
    <t>Effective Battery Capacity</t>
  </si>
  <si>
    <t>mW*h</t>
  </si>
  <si>
    <t>Days of Use</t>
  </si>
  <si>
    <t>days</t>
  </si>
  <si>
    <t xml:space="preserve">REFLECTIONS : WHAT DID YOU LEARN FROM ANALYZING YOUR POWER.  TALK ABOUT SOME POTENTIAL TRADEOFFS. </t>
  </si>
  <si>
    <t>Hours of Use</t>
  </si>
  <si>
    <t>How did you determine your "days of use" metric ?</t>
  </si>
  <si>
    <t>What do you think is the optimum size for the battery in your device ?</t>
  </si>
  <si>
    <t>What hardware/software/cost/effort tradeoffs could you make to improve the user experience ?</t>
  </si>
  <si>
    <t>LED</t>
  </si>
  <si>
    <t>Motor</t>
  </si>
  <si>
    <t>Off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</si>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</sst>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sz val="12.0"/>
      <color rgb="FF273540"/>
      <name val="LatoWeb"/>
    </font>
    <font>
      <sz val="12.0"/>
      <color rgb="FF273540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3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0" fontId="1" numFmtId="1" xfId="0" applyFont="1" applyNumberForma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0" fillId="5" fontId="6" numFmtId="0" xfId="0" applyAlignment="1" applyFill="1" applyFont="1">
      <alignment readingOrder="0"/>
    </xf>
    <xf borderId="0" fillId="5" fontId="7" numFmtId="0" xfId="0" applyAlignment="1" applyFont="1">
      <alignment readingOrder="0"/>
    </xf>
    <xf borderId="0" fillId="0" fontId="8" numFmtId="0" xfId="0" applyFont="1"/>
    <xf borderId="0" fillId="0" fontId="1" numFmtId="9" xfId="0" applyFont="1" applyNumberFormat="1"/>
    <xf borderId="0" fillId="0" fontId="9" numFmtId="1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Maximum Time  vs. Total power in profile (mw)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Sensor!$L$21:$L$23</c:f>
            </c:strRef>
          </c:cat>
          <c:val>
            <c:numRef>
              <c:f>Sensor!$O$21:$O$23</c:f>
              <c:numCache/>
            </c:numRef>
          </c:val>
        </c:ser>
        <c:axId val="1612825788"/>
        <c:axId val="779199303"/>
      </c:barChart>
      <c:catAx>
        <c:axId val="1612825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power in profile (mw)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199303"/>
      </c:catAx>
      <c:valAx>
        <c:axId val="779199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Maximum 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825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Maximum Time  vs. Total power in profile (mw)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Display!$L$21:$L$23</c:f>
            </c:strRef>
          </c:cat>
          <c:val>
            <c:numRef>
              <c:f>Display!$O$21:$O$23</c:f>
              <c:numCache/>
            </c:numRef>
          </c:val>
        </c:ser>
        <c:axId val="1922172795"/>
        <c:axId val="742366185"/>
      </c:barChart>
      <c:catAx>
        <c:axId val="1922172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power in profile (mw)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366185"/>
      </c:catAx>
      <c:valAx>
        <c:axId val="742366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Maximum 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172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1295185295"/>
        <c:axId val="483410581"/>
      </c:barChart>
      <c:catAx>
        <c:axId val="1295185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410581"/>
      </c:catAx>
      <c:valAx>
        <c:axId val="4834105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95185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33</xdr:row>
      <xdr:rowOff>180975</xdr:rowOff>
    </xdr:from>
    <xdr:ext cx="6743700" cy="4171950"/>
    <xdr:pic>
      <xdr:nvPicPr>
        <xdr:cNvPr id="57436112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0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om-Taing/Hydration-Tracker/blob/main/datasheets/esp32-c3_datasheet_en.pdf" TargetMode="External"/><Relationship Id="rId2" Type="http://schemas.openxmlformats.org/officeDocument/2006/relationships/hyperlink" Target="https://github.com/Dom-Taing/Hydration-Tracker/blob/main/datasheets/fdc1004%20(1).pdf" TargetMode="External"/><Relationship Id="rId3" Type="http://schemas.openxmlformats.org/officeDocument/2006/relationships/hyperlink" Target="https://github.com/Dom-Taing/Hydration-Tracker/blob/main/datasheets/esp32-c3_datasheet_en.pdf" TargetMode="External"/><Relationship Id="rId4" Type="http://schemas.openxmlformats.org/officeDocument/2006/relationships/hyperlink" Target="https://github.com/Dom-Taing/Hydration-Tracker/blob/main/datasheets/C101-_Li-Polymer_503562_1200mAh_3.7V_with_PCM_APPROVED_8.18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om-Taing/Hydration-Tracker/blob/main/datasheets/esp32-c3_datasheet_en.pdf" TargetMode="External"/><Relationship Id="rId2" Type="http://schemas.openxmlformats.org/officeDocument/2006/relationships/hyperlink" Target="https://github.com/Dom-Taing/Hydration-Tracker/blob/main/datasheets/WS2812B.pdf" TargetMode="External"/><Relationship Id="rId3" Type="http://schemas.openxmlformats.org/officeDocument/2006/relationships/hyperlink" Target="https://github.com/Dom-Taing/Hydration-Tracker/blob/main/datasheets/SP_X27_e_C.pdf" TargetMode="External"/><Relationship Id="rId4" Type="http://schemas.openxmlformats.org/officeDocument/2006/relationships/hyperlink" Target="https://github.com/Dom-Taing/Hydration-Tracker/blob/main/datasheets/esp32-c3_datasheet_en.pdf" TargetMode="External"/><Relationship Id="rId5" Type="http://schemas.openxmlformats.org/officeDocument/2006/relationships/hyperlink" Target="https://github.com/Dom-Taing/Hydration-Tracker/blob/main/datasheets/C101-_Li-Polymer_503562_1200mAh_3.7V_with_PCM_APPROVED_8.18.pdf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B6" s="10" t="s">
        <v>7</v>
      </c>
      <c r="I6" s="6"/>
    </row>
    <row r="7">
      <c r="A7" s="11" t="s">
        <v>8</v>
      </c>
      <c r="B7" s="12">
        <f>28*3.3</f>
        <v>92.4</v>
      </c>
      <c r="C7" s="9" t="s">
        <v>9</v>
      </c>
      <c r="E7" s="13">
        <v>0.0</v>
      </c>
      <c r="F7" s="14">
        <v>1.0</v>
      </c>
      <c r="G7" s="13">
        <v>1.0</v>
      </c>
      <c r="I7" s="6"/>
    </row>
    <row r="8">
      <c r="A8" s="11" t="s">
        <v>10</v>
      </c>
      <c r="B8" s="15">
        <f>21*3.3</f>
        <v>69.3</v>
      </c>
      <c r="C8" s="9" t="s">
        <v>9</v>
      </c>
      <c r="E8" s="13">
        <v>0.0</v>
      </c>
      <c r="F8" s="14">
        <v>0.0</v>
      </c>
      <c r="G8" s="13">
        <v>0.0</v>
      </c>
      <c r="I8" s="6"/>
    </row>
    <row r="9">
      <c r="A9" s="11" t="s">
        <v>11</v>
      </c>
      <c r="B9" s="15">
        <f>0.005*3.3</f>
        <v>0.0165</v>
      </c>
      <c r="C9" s="9" t="s">
        <v>9</v>
      </c>
      <c r="E9" s="13">
        <v>1.0</v>
      </c>
      <c r="F9" s="13">
        <v>0.0</v>
      </c>
      <c r="G9" s="13">
        <v>0.0</v>
      </c>
      <c r="I9" s="6"/>
    </row>
    <row r="10">
      <c r="A10" s="7"/>
      <c r="I10" s="6"/>
    </row>
    <row r="11">
      <c r="A11" s="4" t="s">
        <v>12</v>
      </c>
      <c r="B11" s="16" t="s">
        <v>13</v>
      </c>
      <c r="I11" s="6"/>
    </row>
    <row r="12">
      <c r="A12" s="11" t="s">
        <v>14</v>
      </c>
      <c r="B12" s="15">
        <f>0.75*3.3</f>
        <v>2.475</v>
      </c>
      <c r="C12" s="9" t="s">
        <v>9</v>
      </c>
      <c r="E12" s="13">
        <v>0.0</v>
      </c>
      <c r="F12" s="13">
        <v>1.0</v>
      </c>
      <c r="G12" s="13">
        <v>1.0</v>
      </c>
      <c r="I12" s="6"/>
    </row>
    <row r="13">
      <c r="A13" s="11" t="s">
        <v>10</v>
      </c>
      <c r="B13" s="15">
        <f>0.029*3.3</f>
        <v>0.0957</v>
      </c>
      <c r="C13" s="9" t="s">
        <v>9</v>
      </c>
      <c r="E13" s="13">
        <v>1.0</v>
      </c>
      <c r="F13" s="13">
        <v>0.0</v>
      </c>
      <c r="G13" s="13">
        <v>0.0</v>
      </c>
      <c r="I13" s="6"/>
    </row>
    <row r="14">
      <c r="A14" s="7"/>
      <c r="B14" s="17"/>
      <c r="I14" s="6"/>
    </row>
    <row r="15">
      <c r="A15" s="4" t="s">
        <v>15</v>
      </c>
      <c r="B15" s="10" t="s">
        <v>7</v>
      </c>
      <c r="I15" s="6"/>
    </row>
    <row r="16">
      <c r="A16" s="11" t="s">
        <v>16</v>
      </c>
      <c r="B16" s="18">
        <v>1.0</v>
      </c>
      <c r="C16" s="9" t="s">
        <v>17</v>
      </c>
      <c r="E16" s="13">
        <v>0.0</v>
      </c>
      <c r="F16" s="13">
        <v>0.0</v>
      </c>
      <c r="G16" s="13">
        <v>0.0</v>
      </c>
      <c r="I16" s="6"/>
    </row>
    <row r="17">
      <c r="A17" s="11" t="s">
        <v>18</v>
      </c>
      <c r="B17" s="15">
        <v>0.0</v>
      </c>
      <c r="C17" s="9" t="s">
        <v>9</v>
      </c>
      <c r="E17" s="13">
        <v>1.0</v>
      </c>
      <c r="F17" s="13">
        <v>1.0</v>
      </c>
      <c r="G17" s="13">
        <v>0.0</v>
      </c>
      <c r="I17" s="6"/>
    </row>
    <row r="18">
      <c r="A18" s="11" t="s">
        <v>19</v>
      </c>
      <c r="B18" s="15">
        <f>335*3.3</f>
        <v>1105.5</v>
      </c>
      <c r="C18" s="9" t="s">
        <v>9</v>
      </c>
      <c r="E18" s="13">
        <v>0.0</v>
      </c>
      <c r="F18" s="13">
        <v>0.0</v>
      </c>
      <c r="G18" s="13">
        <v>1.0</v>
      </c>
      <c r="I18" s="6"/>
    </row>
    <row r="19">
      <c r="A19" s="11" t="s">
        <v>20</v>
      </c>
      <c r="B19" s="15">
        <f>84*3.3</f>
        <v>277.2</v>
      </c>
      <c r="C19" s="9" t="s">
        <v>9</v>
      </c>
      <c r="E19" s="13">
        <v>0.0</v>
      </c>
      <c r="F19" s="13">
        <v>0.0</v>
      </c>
      <c r="G19" s="13">
        <v>0.0</v>
      </c>
      <c r="I19" s="6"/>
      <c r="K19" s="1"/>
      <c r="L19" s="2"/>
      <c r="M19" s="2"/>
      <c r="N19" s="2"/>
      <c r="O19" s="2"/>
      <c r="P19" s="2"/>
      <c r="Q19" s="3"/>
    </row>
    <row r="20">
      <c r="A20" s="7"/>
      <c r="I20" s="6"/>
      <c r="K20" s="7"/>
      <c r="L20" s="19" t="s">
        <v>21</v>
      </c>
      <c r="M20" s="20"/>
      <c r="N20" s="20"/>
      <c r="O20" s="19" t="s">
        <v>22</v>
      </c>
      <c r="P20" s="20"/>
      <c r="Q20" s="6"/>
    </row>
    <row r="21">
      <c r="A21" s="4"/>
      <c r="E21" s="18">
        <f>24-F21-G21</f>
        <v>20.4</v>
      </c>
      <c r="F21" s="18">
        <f>(1*6*60*24)/3600</f>
        <v>2.4</v>
      </c>
      <c r="G21" s="18">
        <f>(3*60*24)/3600</f>
        <v>1.2</v>
      </c>
      <c r="H21" s="9" t="s">
        <v>23</v>
      </c>
      <c r="I21" s="6"/>
      <c r="K21" s="7"/>
      <c r="L21" s="20" t="str">
        <f>E5</f>
        <v>"off"</v>
      </c>
      <c r="M21" s="20">
        <f>SUMPRODUCT(B7:B19, E7:E19)</f>
        <v>0.1122</v>
      </c>
      <c r="N21" s="19" t="s">
        <v>9</v>
      </c>
      <c r="O21" s="21">
        <f t="shared" ref="O21:O23" si="1">$M$26/M21</f>
        <v>22852.94118</v>
      </c>
      <c r="P21" s="19" t="s">
        <v>24</v>
      </c>
      <c r="Q21" s="6"/>
    </row>
    <row r="22">
      <c r="A22" s="4" t="s">
        <v>25</v>
      </c>
      <c r="B22" s="10" t="s">
        <v>13</v>
      </c>
      <c r="I22" s="6"/>
      <c r="K22" s="7"/>
      <c r="L22" s="20" t="str">
        <f>F5</f>
        <v>"sensing"</v>
      </c>
      <c r="M22" s="20">
        <f>SUMPRODUCT(B7:B19, F7:F19)</f>
        <v>94.875</v>
      </c>
      <c r="N22" s="19" t="s">
        <v>9</v>
      </c>
      <c r="O22" s="21">
        <f t="shared" si="1"/>
        <v>27.02608696</v>
      </c>
      <c r="P22" s="19" t="s">
        <v>24</v>
      </c>
      <c r="Q22" s="6"/>
    </row>
    <row r="23">
      <c r="A23" s="11" t="s">
        <v>26</v>
      </c>
      <c r="B23" s="15">
        <v>700.0</v>
      </c>
      <c r="C23" s="9" t="s">
        <v>27</v>
      </c>
      <c r="I23" s="6"/>
      <c r="K23" s="7"/>
      <c r="L23" s="20" t="str">
        <f>G5</f>
        <v>"interactive"</v>
      </c>
      <c r="M23" s="20">
        <f>SUMPRODUCT(B7:B19, G7:G19)</f>
        <v>1200.375</v>
      </c>
      <c r="N23" s="19" t="s">
        <v>9</v>
      </c>
      <c r="O23" s="21">
        <f t="shared" si="1"/>
        <v>2.136082474</v>
      </c>
      <c r="P23" s="19" t="s">
        <v>24</v>
      </c>
      <c r="Q23" s="6"/>
    </row>
    <row r="24">
      <c r="A24" s="11" t="s">
        <v>28</v>
      </c>
      <c r="B24" s="15">
        <v>3.7</v>
      </c>
      <c r="C24" s="9" t="s">
        <v>29</v>
      </c>
      <c r="I24" s="6"/>
      <c r="K24" s="7"/>
      <c r="Q24" s="6"/>
    </row>
    <row r="25">
      <c r="A25" s="11" t="s">
        <v>30</v>
      </c>
      <c r="B25" s="13">
        <v>0.99</v>
      </c>
      <c r="I25" s="6"/>
      <c r="K25" s="7"/>
      <c r="L25" s="9" t="s">
        <v>31</v>
      </c>
      <c r="Q25" s="6"/>
    </row>
    <row r="26">
      <c r="A26" s="22"/>
      <c r="B26" s="23"/>
      <c r="C26" s="23"/>
      <c r="D26" s="23"/>
      <c r="E26" s="23"/>
      <c r="F26" s="23"/>
      <c r="G26" s="23"/>
      <c r="H26" s="23"/>
      <c r="I26" s="24"/>
      <c r="K26" s="7"/>
      <c r="M26" s="25">
        <f>B23*B24*B25</f>
        <v>2564.1</v>
      </c>
      <c r="N26" s="9" t="s">
        <v>32</v>
      </c>
      <c r="Q26" s="6"/>
    </row>
    <row r="27">
      <c r="K27" s="7"/>
      <c r="Q27" s="6"/>
    </row>
    <row r="28">
      <c r="K28" s="7"/>
      <c r="L28" s="26" t="s">
        <v>33</v>
      </c>
      <c r="M28" s="27">
        <f>M26/(E21*M21+F21*M22+G21*M23)</f>
        <v>1.534985824</v>
      </c>
      <c r="N28" s="26" t="s">
        <v>34</v>
      </c>
      <c r="Q28" s="6"/>
    </row>
    <row r="29">
      <c r="A29" s="5" t="s">
        <v>35</v>
      </c>
      <c r="K29" s="7"/>
      <c r="L29" s="26" t="s">
        <v>36</v>
      </c>
      <c r="M29" s="27">
        <f>M28*24</f>
        <v>36.83965977</v>
      </c>
      <c r="N29" s="26" t="s">
        <v>24</v>
      </c>
      <c r="Q29" s="6"/>
    </row>
    <row r="30">
      <c r="A30" s="28" t="s">
        <v>37</v>
      </c>
      <c r="K30" s="22"/>
      <c r="L30" s="23"/>
      <c r="M30" s="23"/>
      <c r="N30" s="23"/>
      <c r="O30" s="23"/>
      <c r="P30" s="23"/>
      <c r="Q30" s="24"/>
    </row>
    <row r="31">
      <c r="A31" s="28" t="s">
        <v>38</v>
      </c>
    </row>
    <row r="32">
      <c r="A32" s="29" t="s">
        <v>39</v>
      </c>
    </row>
  </sheetData>
  <hyperlinks>
    <hyperlink r:id="rId1" ref="B6"/>
    <hyperlink r:id="rId2" ref="B11"/>
    <hyperlink r:id="rId3" ref="B15"/>
    <hyperlink r:id="rId4" ref="B2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B6" s="10" t="s">
        <v>7</v>
      </c>
      <c r="I6" s="6"/>
    </row>
    <row r="7">
      <c r="A7" s="11" t="s">
        <v>8</v>
      </c>
      <c r="B7" s="12">
        <f>28*3.3</f>
        <v>92.4</v>
      </c>
      <c r="C7" s="9" t="s">
        <v>9</v>
      </c>
      <c r="E7" s="13">
        <v>0.0</v>
      </c>
      <c r="F7" s="14">
        <v>0.0</v>
      </c>
      <c r="G7" s="13">
        <v>1.0</v>
      </c>
      <c r="I7" s="6"/>
    </row>
    <row r="8">
      <c r="A8" s="11" t="s">
        <v>10</v>
      </c>
      <c r="B8" s="15">
        <f>21*3.3</f>
        <v>69.3</v>
      </c>
      <c r="C8" s="9" t="s">
        <v>9</v>
      </c>
      <c r="E8" s="13">
        <v>0.0</v>
      </c>
      <c r="F8" s="14">
        <v>0.0</v>
      </c>
      <c r="G8" s="13">
        <v>0.0</v>
      </c>
      <c r="I8" s="6"/>
    </row>
    <row r="9">
      <c r="A9" s="11" t="s">
        <v>11</v>
      </c>
      <c r="B9" s="15">
        <f>0.005*3.3</f>
        <v>0.0165</v>
      </c>
      <c r="C9" s="9" t="s">
        <v>9</v>
      </c>
      <c r="E9" s="13">
        <v>1.0</v>
      </c>
      <c r="F9" s="13">
        <v>1.0</v>
      </c>
      <c r="G9" s="13">
        <v>0.0</v>
      </c>
      <c r="I9" s="6"/>
    </row>
    <row r="10">
      <c r="A10" s="7"/>
      <c r="I10" s="6"/>
    </row>
    <row r="11">
      <c r="A11" s="4" t="s">
        <v>40</v>
      </c>
      <c r="B11" s="10" t="s">
        <v>13</v>
      </c>
      <c r="I11" s="6"/>
    </row>
    <row r="12">
      <c r="A12" s="11" t="s">
        <v>14</v>
      </c>
      <c r="B12" s="15">
        <f>12*3.3</f>
        <v>39.6</v>
      </c>
      <c r="C12" s="9" t="s">
        <v>9</v>
      </c>
      <c r="E12" s="13">
        <v>0.0</v>
      </c>
      <c r="F12" s="13">
        <v>0.0</v>
      </c>
      <c r="G12" s="13">
        <v>1.0</v>
      </c>
      <c r="I12" s="6"/>
    </row>
    <row r="13">
      <c r="A13" s="11"/>
      <c r="B13" s="17"/>
      <c r="I13" s="6"/>
    </row>
    <row r="14">
      <c r="A14" s="4" t="s">
        <v>41</v>
      </c>
      <c r="B14" s="16" t="s">
        <v>13</v>
      </c>
      <c r="I14" s="6"/>
    </row>
    <row r="15">
      <c r="A15" s="11" t="s">
        <v>14</v>
      </c>
      <c r="B15" s="15">
        <f>3.3/260*3.3*1000</f>
        <v>41.88461538</v>
      </c>
      <c r="C15" s="9" t="s">
        <v>9</v>
      </c>
      <c r="E15" s="13">
        <v>0.0</v>
      </c>
      <c r="F15" s="13">
        <v>0.0</v>
      </c>
      <c r="G15" s="13">
        <v>1.0</v>
      </c>
      <c r="I15" s="6"/>
    </row>
    <row r="16">
      <c r="A16" s="11" t="s">
        <v>10</v>
      </c>
      <c r="B16" s="15">
        <v>0.0</v>
      </c>
      <c r="C16" s="9" t="s">
        <v>9</v>
      </c>
      <c r="E16" s="13">
        <v>0.0</v>
      </c>
      <c r="F16" s="13">
        <v>1.0</v>
      </c>
      <c r="G16" s="13">
        <v>0.0</v>
      </c>
      <c r="I16" s="6"/>
    </row>
    <row r="17">
      <c r="A17" s="11" t="s">
        <v>42</v>
      </c>
      <c r="B17" s="15">
        <v>0.0</v>
      </c>
      <c r="C17" s="9" t="s">
        <v>9</v>
      </c>
      <c r="E17" s="13">
        <v>1.0</v>
      </c>
      <c r="F17" s="13">
        <v>0.0</v>
      </c>
      <c r="G17" s="13">
        <v>0.0</v>
      </c>
      <c r="I17" s="6"/>
    </row>
    <row r="18">
      <c r="A18" s="7"/>
      <c r="B18" s="17"/>
      <c r="I18" s="6"/>
    </row>
    <row r="19">
      <c r="A19" s="4" t="s">
        <v>15</v>
      </c>
      <c r="B19" s="10" t="s">
        <v>7</v>
      </c>
      <c r="I19" s="6"/>
      <c r="K19" s="1"/>
      <c r="L19" s="2"/>
      <c r="M19" s="2"/>
      <c r="N19" s="2"/>
      <c r="O19" s="2"/>
      <c r="P19" s="2"/>
      <c r="Q19" s="3"/>
    </row>
    <row r="20">
      <c r="A20" s="11" t="s">
        <v>16</v>
      </c>
      <c r="B20" s="18">
        <v>1.0</v>
      </c>
      <c r="C20" s="9" t="s">
        <v>17</v>
      </c>
      <c r="E20" s="13">
        <v>0.0</v>
      </c>
      <c r="F20" s="13">
        <v>0.0</v>
      </c>
      <c r="G20" s="13">
        <v>0.0</v>
      </c>
      <c r="I20" s="6"/>
      <c r="K20" s="7"/>
      <c r="L20" s="19" t="s">
        <v>21</v>
      </c>
      <c r="M20" s="20"/>
      <c r="N20" s="20"/>
      <c r="O20" s="19" t="s">
        <v>22</v>
      </c>
      <c r="P20" s="20"/>
      <c r="Q20" s="6"/>
    </row>
    <row r="21">
      <c r="A21" s="11" t="s">
        <v>18</v>
      </c>
      <c r="B21" s="15">
        <v>0.0</v>
      </c>
      <c r="C21" s="9" t="s">
        <v>9</v>
      </c>
      <c r="E21" s="13">
        <v>1.0</v>
      </c>
      <c r="F21" s="13">
        <v>1.0</v>
      </c>
      <c r="G21" s="13">
        <v>0.0</v>
      </c>
      <c r="I21" s="6"/>
      <c r="K21" s="7"/>
      <c r="L21" s="20" t="str">
        <f>E5</f>
        <v>"off"</v>
      </c>
      <c r="M21" s="20">
        <f>SUMPRODUCT(B7:B23, E7:E23)</f>
        <v>0.0165</v>
      </c>
      <c r="N21" s="19" t="s">
        <v>9</v>
      </c>
      <c r="O21" s="21">
        <f t="shared" ref="O21:O23" si="1">$M$26/M21</f>
        <v>266400</v>
      </c>
      <c r="P21" s="19" t="s">
        <v>24</v>
      </c>
      <c r="Q21" s="6"/>
    </row>
    <row r="22">
      <c r="A22" s="11" t="s">
        <v>19</v>
      </c>
      <c r="B22" s="15">
        <f>335*3.3</f>
        <v>1105.5</v>
      </c>
      <c r="C22" s="9" t="s">
        <v>9</v>
      </c>
      <c r="E22" s="13">
        <v>0.0</v>
      </c>
      <c r="F22" s="13">
        <v>0.0</v>
      </c>
      <c r="G22" s="13">
        <v>0.0</v>
      </c>
      <c r="I22" s="6"/>
      <c r="K22" s="7"/>
      <c r="L22" s="20" t="str">
        <f>F5</f>
        <v>"sensing"</v>
      </c>
      <c r="M22" s="20">
        <f>SUMPRODUCT(B7:B23, F7:F23)</f>
        <v>0.0165</v>
      </c>
      <c r="N22" s="19" t="s">
        <v>9</v>
      </c>
      <c r="O22" s="21">
        <f t="shared" si="1"/>
        <v>266400</v>
      </c>
      <c r="P22" s="19" t="s">
        <v>24</v>
      </c>
      <c r="Q22" s="6"/>
    </row>
    <row r="23">
      <c r="A23" s="11" t="s">
        <v>20</v>
      </c>
      <c r="B23" s="15">
        <f>84*3.3</f>
        <v>277.2</v>
      </c>
      <c r="C23" s="9" t="s">
        <v>9</v>
      </c>
      <c r="E23" s="13">
        <v>0.0</v>
      </c>
      <c r="F23" s="13">
        <v>0.0</v>
      </c>
      <c r="G23" s="13">
        <v>1.0</v>
      </c>
      <c r="I23" s="6"/>
      <c r="K23" s="7"/>
      <c r="L23" s="20" t="str">
        <f>G5</f>
        <v>"interactive"</v>
      </c>
      <c r="M23" s="20">
        <f>SUMPRODUCT(B7:B23, G7:G23)</f>
        <v>451.0846154</v>
      </c>
      <c r="N23" s="19" t="s">
        <v>9</v>
      </c>
      <c r="O23" s="21">
        <f t="shared" si="1"/>
        <v>9.744513225</v>
      </c>
      <c r="P23" s="19" t="s">
        <v>24</v>
      </c>
      <c r="Q23" s="6"/>
    </row>
    <row r="24">
      <c r="A24" s="7"/>
      <c r="I24" s="6"/>
      <c r="K24" s="7"/>
      <c r="Q24" s="6"/>
    </row>
    <row r="25">
      <c r="A25" s="4"/>
      <c r="E25" s="18">
        <f>24-F25-G25</f>
        <v>22.8</v>
      </c>
      <c r="F25" s="18">
        <f>0</f>
        <v>0</v>
      </c>
      <c r="G25" s="18">
        <f>(3*60*24)/3600</f>
        <v>1.2</v>
      </c>
      <c r="H25" s="9" t="s">
        <v>23</v>
      </c>
      <c r="I25" s="6"/>
      <c r="K25" s="7"/>
      <c r="L25" s="9" t="s">
        <v>31</v>
      </c>
      <c r="Q25" s="6"/>
    </row>
    <row r="26">
      <c r="A26" s="4" t="s">
        <v>25</v>
      </c>
      <c r="B26" s="10" t="s">
        <v>13</v>
      </c>
      <c r="I26" s="6"/>
      <c r="K26" s="7"/>
      <c r="M26" s="25">
        <f>B27*B28*B29</f>
        <v>4395.6</v>
      </c>
      <c r="N26" s="9" t="s">
        <v>32</v>
      </c>
      <c r="Q26" s="6"/>
    </row>
    <row r="27">
      <c r="A27" s="11" t="s">
        <v>26</v>
      </c>
      <c r="B27" s="15">
        <v>1200.0</v>
      </c>
      <c r="C27" s="9" t="s">
        <v>27</v>
      </c>
      <c r="I27" s="6"/>
      <c r="K27" s="7"/>
      <c r="Q27" s="6"/>
    </row>
    <row r="28">
      <c r="A28" s="11" t="s">
        <v>28</v>
      </c>
      <c r="B28" s="15">
        <v>3.7</v>
      </c>
      <c r="C28" s="9" t="s">
        <v>29</v>
      </c>
      <c r="I28" s="6"/>
      <c r="K28" s="7"/>
      <c r="L28" s="26" t="s">
        <v>33</v>
      </c>
      <c r="M28" s="27">
        <f>M26/(E25*M21+F25*M22+G25*M23)</f>
        <v>8.114787978</v>
      </c>
      <c r="N28" s="26" t="s">
        <v>34</v>
      </c>
      <c r="Q28" s="6"/>
    </row>
    <row r="29">
      <c r="A29" s="11" t="s">
        <v>30</v>
      </c>
      <c r="B29" s="13">
        <v>0.99</v>
      </c>
      <c r="I29" s="6"/>
      <c r="K29" s="7"/>
      <c r="L29" s="26" t="s">
        <v>36</v>
      </c>
      <c r="M29" s="27">
        <f>M28*24</f>
        <v>194.7549115</v>
      </c>
      <c r="N29" s="26" t="s">
        <v>24</v>
      </c>
      <c r="Q29" s="6"/>
    </row>
    <row r="30">
      <c r="A30" s="22"/>
      <c r="B30" s="23"/>
      <c r="C30" s="23"/>
      <c r="D30" s="23"/>
      <c r="E30" s="23"/>
      <c r="F30" s="23"/>
      <c r="G30" s="23"/>
      <c r="H30" s="23"/>
      <c r="I30" s="24"/>
      <c r="K30" s="22"/>
      <c r="L30" s="23"/>
      <c r="M30" s="23"/>
      <c r="N30" s="23"/>
      <c r="O30" s="23"/>
      <c r="P30" s="23"/>
      <c r="Q30" s="24"/>
    </row>
    <row r="33">
      <c r="A33" s="5" t="s">
        <v>35</v>
      </c>
    </row>
  </sheetData>
  <hyperlinks>
    <hyperlink r:id="rId1" ref="B6"/>
    <hyperlink r:id="rId2" ref="B11"/>
    <hyperlink r:id="rId3" ref="B14"/>
    <hyperlink r:id="rId4" ref="B19"/>
    <hyperlink r:id="rId5" ref="B2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43</v>
      </c>
    </row>
    <row r="52">
      <c r="A52" s="25" t="str">
        <f>Sensor!A3</f>
        <v>System Parameters (defined by hardware)</v>
      </c>
      <c r="B52" s="25" t="str">
        <f>Sensor!B3</f>
        <v/>
      </c>
      <c r="C52" s="25" t="str">
        <f>Sensor!C3</f>
        <v/>
      </c>
      <c r="D52" s="25" t="str">
        <f>Sensor!D3</f>
        <v/>
      </c>
      <c r="T52" s="25" t="str">
        <f>Sensor!E3</f>
        <v>Profiles (usage of each component mode - defined by software and usage)</v>
      </c>
      <c r="U52" s="25" t="str">
        <f>Sensor!F3</f>
        <v/>
      </c>
      <c r="V52" s="25" t="str">
        <f>Sensor!G3</f>
        <v/>
      </c>
      <c r="W52" s="25" t="str">
        <f>Sensor!H3</f>
        <v/>
      </c>
    </row>
    <row r="53">
      <c r="A53" s="25" t="str">
        <f>Sensor!A4</f>
        <v/>
      </c>
      <c r="B53" s="25" t="str">
        <f>Sensor!B4</f>
        <v>form the datasheets</v>
      </c>
      <c r="C53" s="25" t="str">
        <f>Sensor!C4</f>
        <v/>
      </c>
      <c r="D53" s="25" t="str">
        <f>Sensor!D4</f>
        <v/>
      </c>
      <c r="T53" s="25" t="str">
        <f>Sensor!E4</f>
        <v/>
      </c>
      <c r="U53" s="25" t="str">
        <f>Sensor!F4</f>
        <v/>
      </c>
      <c r="V53" s="25" t="str">
        <f>Sensor!G4</f>
        <v/>
      </c>
      <c r="W53" s="25" t="str">
        <f>Sensor!H4</f>
        <v/>
      </c>
    </row>
    <row r="54">
      <c r="A54" s="25" t="str">
        <f>Sensor!A5</f>
        <v/>
      </c>
      <c r="B54" s="25" t="str">
        <f>Sensor!B5</f>
        <v/>
      </c>
      <c r="C54" s="25" t="str">
        <f>Sensor!C5</f>
        <v/>
      </c>
      <c r="D54" s="25" t="str">
        <f>Sensor!D5</f>
        <v/>
      </c>
      <c r="T54" s="25" t="str">
        <f>Sensor!E5</f>
        <v>"off"</v>
      </c>
      <c r="U54" s="25" t="str">
        <f>Sensor!F5</f>
        <v>"sensing"</v>
      </c>
      <c r="V54" s="25" t="str">
        <f>Sensor!G5</f>
        <v>"interactive"</v>
      </c>
      <c r="W54" s="25" t="str">
        <f>Sensor!H5</f>
        <v/>
      </c>
    </row>
    <row r="55">
      <c r="A55" s="25" t="str">
        <f>Sensor!A6</f>
        <v>Processor</v>
      </c>
      <c r="B55" s="30" t="str">
        <f>Sensor!B6</f>
        <v>DataSheet</v>
      </c>
      <c r="C55" s="25" t="str">
        <f>Sensor!C6</f>
        <v/>
      </c>
      <c r="D55" s="25" t="str">
        <f>Sensor!D6</f>
        <v/>
      </c>
      <c r="T55" s="25" t="str">
        <f>Sensor!E6</f>
        <v/>
      </c>
      <c r="U55" s="25" t="str">
        <f>Sensor!F6</f>
        <v/>
      </c>
      <c r="V55" s="25" t="str">
        <f>Sensor!G6</f>
        <v/>
      </c>
      <c r="W55" s="25" t="str">
        <f>Sensor!H6</f>
        <v/>
      </c>
    </row>
    <row r="56">
      <c r="A56" s="25" t="str">
        <f>Sensor!A7</f>
        <v>Active</v>
      </c>
      <c r="B56" s="17">
        <f>Sensor!B7</f>
        <v>92.4</v>
      </c>
      <c r="C56" s="25" t="str">
        <f>Sensor!C7</f>
        <v>mW</v>
      </c>
      <c r="D56" s="25">
        <f>$B56*0.9</f>
        <v>83.16</v>
      </c>
      <c r="E56" s="17">
        <f t="shared" ref="E56:O56" si="1">$B56</f>
        <v>92.4</v>
      </c>
      <c r="F56" s="17">
        <f t="shared" si="1"/>
        <v>92.4</v>
      </c>
      <c r="G56" s="17">
        <f t="shared" si="1"/>
        <v>92.4</v>
      </c>
      <c r="H56" s="17">
        <f t="shared" si="1"/>
        <v>92.4</v>
      </c>
      <c r="I56" s="17">
        <f t="shared" si="1"/>
        <v>92.4</v>
      </c>
      <c r="J56" s="17">
        <f t="shared" si="1"/>
        <v>92.4</v>
      </c>
      <c r="K56" s="17">
        <f t="shared" si="1"/>
        <v>92.4</v>
      </c>
      <c r="L56" s="17">
        <f t="shared" si="1"/>
        <v>92.4</v>
      </c>
      <c r="M56" s="17">
        <f t="shared" si="1"/>
        <v>92.4</v>
      </c>
      <c r="N56" s="17">
        <f t="shared" si="1"/>
        <v>92.4</v>
      </c>
      <c r="O56" s="17">
        <f t="shared" si="1"/>
        <v>92.4</v>
      </c>
      <c r="T56" s="31">
        <f>Sensor!E7</f>
        <v>0</v>
      </c>
      <c r="U56" s="31">
        <f>Sensor!F7</f>
        <v>1</v>
      </c>
      <c r="V56" s="31">
        <f>Sensor!G7</f>
        <v>1</v>
      </c>
      <c r="W56" s="25" t="str">
        <f>Sensor!H7</f>
        <v/>
      </c>
    </row>
    <row r="57">
      <c r="A57" s="25" t="str">
        <f>Sensor!A8</f>
        <v>Idle</v>
      </c>
      <c r="B57" s="17">
        <f>Sensor!B8</f>
        <v>69.3</v>
      </c>
      <c r="C57" s="25" t="str">
        <f>Sensor!C8</f>
        <v>mW</v>
      </c>
      <c r="D57" s="17">
        <f t="shared" ref="D57:D76" si="3">$B57</f>
        <v>69.3</v>
      </c>
      <c r="E57" s="25">
        <f>$B57*0.9</f>
        <v>62.37</v>
      </c>
      <c r="F57" s="17">
        <f t="shared" ref="F57:O57" si="2">$B57</f>
        <v>69.3</v>
      </c>
      <c r="G57" s="17">
        <f t="shared" si="2"/>
        <v>69.3</v>
      </c>
      <c r="H57" s="17">
        <f t="shared" si="2"/>
        <v>69.3</v>
      </c>
      <c r="I57" s="17">
        <f t="shared" si="2"/>
        <v>69.3</v>
      </c>
      <c r="J57" s="17">
        <f t="shared" si="2"/>
        <v>69.3</v>
      </c>
      <c r="K57" s="17">
        <f t="shared" si="2"/>
        <v>69.3</v>
      </c>
      <c r="L57" s="17">
        <f t="shared" si="2"/>
        <v>69.3</v>
      </c>
      <c r="M57" s="17">
        <f t="shared" si="2"/>
        <v>69.3</v>
      </c>
      <c r="N57" s="17">
        <f t="shared" si="2"/>
        <v>69.3</v>
      </c>
      <c r="O57" s="17">
        <f t="shared" si="2"/>
        <v>69.3</v>
      </c>
      <c r="T57" s="31">
        <f>Sensor!E8</f>
        <v>0</v>
      </c>
      <c r="U57" s="31">
        <f>Sensor!F8</f>
        <v>0</v>
      </c>
      <c r="V57" s="31">
        <f>Sensor!G8</f>
        <v>0</v>
      </c>
      <c r="W57" s="25" t="str">
        <f>Sensor!H8</f>
        <v/>
      </c>
    </row>
    <row r="58">
      <c r="A58" s="25" t="str">
        <f>Sensor!A9</f>
        <v>Sleep</v>
      </c>
      <c r="B58" s="25" t="str">
        <f>#REF!</f>
        <v>#REF!</v>
      </c>
      <c r="C58" s="25" t="str">
        <f>Sensor!C9</f>
        <v>mW</v>
      </c>
      <c r="D58" s="25" t="str">
        <f t="shared" si="3"/>
        <v>#REF!</v>
      </c>
      <c r="E58" s="25" t="str">
        <f t="shared" ref="E58:E76" si="5">$B58</f>
        <v>#REF!</v>
      </c>
      <c r="F58" s="25" t="str">
        <f>$B58*0.9</f>
        <v>#REF!</v>
      </c>
      <c r="G58" s="25" t="str">
        <f t="shared" ref="G58:O58" si="4">$B58</f>
        <v>#REF!</v>
      </c>
      <c r="H58" s="25" t="str">
        <f t="shared" si="4"/>
        <v>#REF!</v>
      </c>
      <c r="I58" s="25" t="str">
        <f t="shared" si="4"/>
        <v>#REF!</v>
      </c>
      <c r="J58" s="25" t="str">
        <f t="shared" si="4"/>
        <v>#REF!</v>
      </c>
      <c r="K58" s="25" t="str">
        <f t="shared" si="4"/>
        <v>#REF!</v>
      </c>
      <c r="L58" s="25" t="str">
        <f t="shared" si="4"/>
        <v>#REF!</v>
      </c>
      <c r="M58" s="25" t="str">
        <f t="shared" si="4"/>
        <v>#REF!</v>
      </c>
      <c r="N58" s="25" t="str">
        <f t="shared" si="4"/>
        <v>#REF!</v>
      </c>
      <c r="O58" s="25" t="str">
        <f t="shared" si="4"/>
        <v>#REF!</v>
      </c>
      <c r="T58" s="31">
        <f>Sensor!E9</f>
        <v>1</v>
      </c>
      <c r="U58" s="31">
        <f>Sensor!F9</f>
        <v>0</v>
      </c>
      <c r="V58" s="31">
        <f>Sensor!G9</f>
        <v>0</v>
      </c>
      <c r="W58" s="25" t="str">
        <f>Sensor!H9</f>
        <v/>
      </c>
    </row>
    <row r="59">
      <c r="A59" s="25" t="str">
        <f>Sensor!A10</f>
        <v/>
      </c>
      <c r="B59" s="25" t="str">
        <f>Sensor!B10</f>
        <v/>
      </c>
      <c r="C59" s="25" t="str">
        <f>Sensor!C10</f>
        <v/>
      </c>
      <c r="D59" s="25" t="str">
        <f t="shared" si="3"/>
        <v/>
      </c>
      <c r="E59" s="25" t="str">
        <f t="shared" si="5"/>
        <v/>
      </c>
      <c r="F59" s="25" t="str">
        <f t="shared" ref="F59:O59" si="6">$B59</f>
        <v/>
      </c>
      <c r="G59" s="25" t="str">
        <f t="shared" si="6"/>
        <v/>
      </c>
      <c r="H59" s="25" t="str">
        <f t="shared" si="6"/>
        <v/>
      </c>
      <c r="I59" s="25" t="str">
        <f t="shared" si="6"/>
        <v/>
      </c>
      <c r="J59" s="25" t="str">
        <f t="shared" si="6"/>
        <v/>
      </c>
      <c r="K59" s="25" t="str">
        <f t="shared" si="6"/>
        <v/>
      </c>
      <c r="L59" s="25" t="str">
        <f t="shared" si="6"/>
        <v/>
      </c>
      <c r="M59" s="25" t="str">
        <f t="shared" si="6"/>
        <v/>
      </c>
      <c r="N59" s="25" t="str">
        <f t="shared" si="6"/>
        <v/>
      </c>
      <c r="O59" s="25" t="str">
        <f t="shared" si="6"/>
        <v/>
      </c>
      <c r="T59" s="25" t="str">
        <f>Sensor!E10</f>
        <v/>
      </c>
      <c r="U59" s="25" t="str">
        <f>Sensor!F10</f>
        <v/>
      </c>
      <c r="V59" s="25" t="str">
        <f>Sensor!G10</f>
        <v/>
      </c>
      <c r="W59" s="25" t="str">
        <f>Sensor!H10</f>
        <v/>
      </c>
    </row>
    <row r="60">
      <c r="A60" s="25" t="str">
        <f t="shared" ref="A60:C60" si="7">#REF!</f>
        <v>#REF!</v>
      </c>
      <c r="B60" s="25" t="str">
        <f t="shared" si="7"/>
        <v>#REF!</v>
      </c>
      <c r="C60" s="25" t="str">
        <f t="shared" si="7"/>
        <v>#REF!</v>
      </c>
      <c r="D60" s="25" t="str">
        <f t="shared" si="3"/>
        <v>#REF!</v>
      </c>
      <c r="E60" s="25" t="str">
        <f t="shared" si="5"/>
        <v>#REF!</v>
      </c>
      <c r="F60" s="25" t="str">
        <f t="shared" ref="F60:O60" si="8">$B60</f>
        <v>#REF!</v>
      </c>
      <c r="G60" s="25" t="str">
        <f t="shared" si="8"/>
        <v>#REF!</v>
      </c>
      <c r="H60" s="25" t="str">
        <f t="shared" si="8"/>
        <v>#REF!</v>
      </c>
      <c r="I60" s="25" t="str">
        <f t="shared" si="8"/>
        <v>#REF!</v>
      </c>
      <c r="J60" s="25" t="str">
        <f t="shared" si="8"/>
        <v>#REF!</v>
      </c>
      <c r="K60" s="25" t="str">
        <f t="shared" si="8"/>
        <v>#REF!</v>
      </c>
      <c r="L60" s="25" t="str">
        <f t="shared" si="8"/>
        <v>#REF!</v>
      </c>
      <c r="M60" s="25" t="str">
        <f t="shared" si="8"/>
        <v>#REF!</v>
      </c>
      <c r="N60" s="25" t="str">
        <f t="shared" si="8"/>
        <v>#REF!</v>
      </c>
      <c r="O60" s="25" t="str">
        <f t="shared" si="8"/>
        <v>#REF!</v>
      </c>
      <c r="T60" s="25" t="str">
        <f t="shared" ref="T60:W60" si="9">#REF!</f>
        <v>#REF!</v>
      </c>
      <c r="U60" s="25" t="str">
        <f t="shared" si="9"/>
        <v>#REF!</v>
      </c>
      <c r="V60" s="25" t="str">
        <f t="shared" si="9"/>
        <v>#REF!</v>
      </c>
      <c r="W60" s="25" t="str">
        <f t="shared" si="9"/>
        <v>#REF!</v>
      </c>
    </row>
    <row r="61">
      <c r="A61" s="25" t="str">
        <f t="shared" ref="A61:C61" si="10">#REF!</f>
        <v>#REF!</v>
      </c>
      <c r="B61" s="25" t="str">
        <f t="shared" si="10"/>
        <v>#REF!</v>
      </c>
      <c r="C61" s="25" t="str">
        <f t="shared" si="10"/>
        <v>#REF!</v>
      </c>
      <c r="D61" s="25" t="str">
        <f t="shared" si="3"/>
        <v>#REF!</v>
      </c>
      <c r="E61" s="25" t="str">
        <f t="shared" si="5"/>
        <v>#REF!</v>
      </c>
      <c r="F61" s="25" t="str">
        <f t="shared" ref="F61:F76" si="14">$B61</f>
        <v>#REF!</v>
      </c>
      <c r="G61" s="25" t="str">
        <f>$B61*0.9</f>
        <v>#REF!</v>
      </c>
      <c r="H61" s="25" t="str">
        <f t="shared" ref="H61:O61" si="11">$B61</f>
        <v>#REF!</v>
      </c>
      <c r="I61" s="25" t="str">
        <f t="shared" si="11"/>
        <v>#REF!</v>
      </c>
      <c r="J61" s="25" t="str">
        <f t="shared" si="11"/>
        <v>#REF!</v>
      </c>
      <c r="K61" s="25" t="str">
        <f t="shared" si="11"/>
        <v>#REF!</v>
      </c>
      <c r="L61" s="25" t="str">
        <f t="shared" si="11"/>
        <v>#REF!</v>
      </c>
      <c r="M61" s="25" t="str">
        <f t="shared" si="11"/>
        <v>#REF!</v>
      </c>
      <c r="N61" s="25" t="str">
        <f t="shared" si="11"/>
        <v>#REF!</v>
      </c>
      <c r="O61" s="25" t="str">
        <f t="shared" si="11"/>
        <v>#REF!</v>
      </c>
      <c r="T61" s="25" t="str">
        <f t="shared" ref="T61:W61" si="12">#REF!</f>
        <v>#REF!</v>
      </c>
      <c r="U61" s="25" t="str">
        <f t="shared" si="12"/>
        <v>#REF!</v>
      </c>
      <c r="V61" s="25" t="str">
        <f t="shared" si="12"/>
        <v>#REF!</v>
      </c>
      <c r="W61" s="25" t="str">
        <f t="shared" si="12"/>
        <v>#REF!</v>
      </c>
    </row>
    <row r="62">
      <c r="A62" s="25" t="str">
        <f t="shared" ref="A62:C62" si="13">#REF!</f>
        <v>#REF!</v>
      </c>
      <c r="B62" s="25" t="str">
        <f t="shared" si="13"/>
        <v>#REF!</v>
      </c>
      <c r="C62" s="25" t="str">
        <f t="shared" si="13"/>
        <v>#REF!</v>
      </c>
      <c r="D62" s="25" t="str">
        <f t="shared" si="3"/>
        <v>#REF!</v>
      </c>
      <c r="E62" s="25" t="str">
        <f t="shared" si="5"/>
        <v>#REF!</v>
      </c>
      <c r="F62" s="25" t="str">
        <f t="shared" si="14"/>
        <v>#REF!</v>
      </c>
      <c r="G62" s="25" t="str">
        <f t="shared" ref="G62:O62" si="15">$B62</f>
        <v>#REF!</v>
      </c>
      <c r="H62" s="25" t="str">
        <f t="shared" si="15"/>
        <v>#REF!</v>
      </c>
      <c r="I62" s="25" t="str">
        <f t="shared" si="15"/>
        <v>#REF!</v>
      </c>
      <c r="J62" s="25" t="str">
        <f t="shared" si="15"/>
        <v>#REF!</v>
      </c>
      <c r="K62" s="25" t="str">
        <f t="shared" si="15"/>
        <v>#REF!</v>
      </c>
      <c r="L62" s="25" t="str">
        <f t="shared" si="15"/>
        <v>#REF!</v>
      </c>
      <c r="M62" s="25" t="str">
        <f t="shared" si="15"/>
        <v>#REF!</v>
      </c>
      <c r="N62" s="25" t="str">
        <f t="shared" si="15"/>
        <v>#REF!</v>
      </c>
      <c r="O62" s="25" t="str">
        <f t="shared" si="15"/>
        <v>#REF!</v>
      </c>
      <c r="T62" s="25" t="str">
        <f t="shared" ref="T62:W62" si="16">#REF!</f>
        <v>#REF!</v>
      </c>
      <c r="U62" s="25" t="str">
        <f t="shared" si="16"/>
        <v>#REF!</v>
      </c>
      <c r="V62" s="25" t="str">
        <f t="shared" si="16"/>
        <v>#REF!</v>
      </c>
      <c r="W62" s="25" t="str">
        <f t="shared" si="16"/>
        <v>#REF!</v>
      </c>
    </row>
    <row r="63">
      <c r="A63" s="25" t="str">
        <f t="shared" ref="A63:C63" si="17">#REF!</f>
        <v>#REF!</v>
      </c>
      <c r="B63" s="25" t="str">
        <f t="shared" si="17"/>
        <v>#REF!</v>
      </c>
      <c r="C63" s="25" t="str">
        <f t="shared" si="17"/>
        <v>#REF!</v>
      </c>
      <c r="D63" s="25" t="str">
        <f t="shared" si="3"/>
        <v>#REF!</v>
      </c>
      <c r="E63" s="25" t="str">
        <f t="shared" si="5"/>
        <v>#REF!</v>
      </c>
      <c r="F63" s="25" t="str">
        <f t="shared" si="14"/>
        <v>#REF!</v>
      </c>
      <c r="G63" s="25" t="str">
        <f t="shared" ref="G63:O63" si="18">$B63</f>
        <v>#REF!</v>
      </c>
      <c r="H63" s="25" t="str">
        <f t="shared" si="18"/>
        <v>#REF!</v>
      </c>
      <c r="I63" s="25" t="str">
        <f t="shared" si="18"/>
        <v>#REF!</v>
      </c>
      <c r="J63" s="25" t="str">
        <f t="shared" si="18"/>
        <v>#REF!</v>
      </c>
      <c r="K63" s="25" t="str">
        <f t="shared" si="18"/>
        <v>#REF!</v>
      </c>
      <c r="L63" s="25" t="str">
        <f t="shared" si="18"/>
        <v>#REF!</v>
      </c>
      <c r="M63" s="25" t="str">
        <f t="shared" si="18"/>
        <v>#REF!</v>
      </c>
      <c r="N63" s="25" t="str">
        <f t="shared" si="18"/>
        <v>#REF!</v>
      </c>
      <c r="O63" s="25" t="str">
        <f t="shared" si="18"/>
        <v>#REF!</v>
      </c>
      <c r="T63" s="25" t="str">
        <f t="shared" ref="T63:W63" si="19">#REF!</f>
        <v>#REF!</v>
      </c>
      <c r="U63" s="25" t="str">
        <f t="shared" si="19"/>
        <v>#REF!</v>
      </c>
      <c r="V63" s="25" t="str">
        <f t="shared" si="19"/>
        <v>#REF!</v>
      </c>
      <c r="W63" s="25" t="str">
        <f t="shared" si="19"/>
        <v>#REF!</v>
      </c>
    </row>
    <row r="64">
      <c r="A64" s="25" t="str">
        <f>Sensor!A11</f>
        <v>Sensor</v>
      </c>
      <c r="B64" s="32" t="str">
        <f>Sensor!B11</f>
        <v>Datasheet</v>
      </c>
      <c r="C64" s="25" t="str">
        <f>Sensor!C11</f>
        <v/>
      </c>
      <c r="D64" s="32" t="str">
        <f t="shared" si="3"/>
        <v>Datasheet</v>
      </c>
      <c r="E64" s="32" t="str">
        <f t="shared" si="5"/>
        <v>Datasheet</v>
      </c>
      <c r="F64" s="32" t="str">
        <f t="shared" si="14"/>
        <v>Datasheet</v>
      </c>
      <c r="G64" s="32" t="str">
        <f t="shared" ref="G64:O64" si="20">$B64</f>
        <v>Datasheet</v>
      </c>
      <c r="H64" s="32" t="str">
        <f t="shared" si="20"/>
        <v>Datasheet</v>
      </c>
      <c r="I64" s="32" t="str">
        <f t="shared" si="20"/>
        <v>Datasheet</v>
      </c>
      <c r="J64" s="32" t="str">
        <f t="shared" si="20"/>
        <v>Datasheet</v>
      </c>
      <c r="K64" s="32" t="str">
        <f t="shared" si="20"/>
        <v>Datasheet</v>
      </c>
      <c r="L64" s="32" t="str">
        <f t="shared" si="20"/>
        <v>Datasheet</v>
      </c>
      <c r="M64" s="32" t="str">
        <f t="shared" si="20"/>
        <v>Datasheet</v>
      </c>
      <c r="N64" s="32" t="str">
        <f t="shared" si="20"/>
        <v>Datasheet</v>
      </c>
      <c r="O64" s="32" t="str">
        <f t="shared" si="20"/>
        <v>Datasheet</v>
      </c>
      <c r="T64" s="25" t="str">
        <f>Sensor!E11</f>
        <v/>
      </c>
      <c r="U64" s="25" t="str">
        <f>Sensor!F11</f>
        <v/>
      </c>
      <c r="V64" s="25" t="str">
        <f>Sensor!G11</f>
        <v/>
      </c>
      <c r="W64" s="25" t="str">
        <f>Sensor!H11</f>
        <v/>
      </c>
    </row>
    <row r="65">
      <c r="A65" s="25" t="str">
        <f>Sensor!A12</f>
        <v>On</v>
      </c>
      <c r="B65" s="17">
        <f>Sensor!B12</f>
        <v>2.475</v>
      </c>
      <c r="C65" s="25" t="str">
        <f>Sensor!C12</f>
        <v>mW</v>
      </c>
      <c r="D65" s="17">
        <f t="shared" si="3"/>
        <v>2.475</v>
      </c>
      <c r="E65" s="17">
        <f t="shared" si="5"/>
        <v>2.475</v>
      </c>
      <c r="F65" s="17">
        <f t="shared" si="14"/>
        <v>2.475</v>
      </c>
      <c r="G65" s="17">
        <f t="shared" ref="G65:G76" si="22">$B65</f>
        <v>2.475</v>
      </c>
      <c r="H65" s="25">
        <f>$B65*0.9</f>
        <v>2.2275</v>
      </c>
      <c r="I65" s="17">
        <f t="shared" ref="I65:O65" si="21">$B65</f>
        <v>2.475</v>
      </c>
      <c r="J65" s="17">
        <f t="shared" si="21"/>
        <v>2.475</v>
      </c>
      <c r="K65" s="17">
        <f t="shared" si="21"/>
        <v>2.475</v>
      </c>
      <c r="L65" s="17">
        <f t="shared" si="21"/>
        <v>2.475</v>
      </c>
      <c r="M65" s="17">
        <f t="shared" si="21"/>
        <v>2.475</v>
      </c>
      <c r="N65" s="17">
        <f t="shared" si="21"/>
        <v>2.475</v>
      </c>
      <c r="O65" s="17">
        <f t="shared" si="21"/>
        <v>2.475</v>
      </c>
      <c r="T65" s="31">
        <f>Sensor!E12</f>
        <v>0</v>
      </c>
      <c r="U65" s="31">
        <f>Sensor!F12</f>
        <v>1</v>
      </c>
      <c r="V65" s="31">
        <f>Sensor!G12</f>
        <v>1</v>
      </c>
      <c r="W65" s="25" t="str">
        <f>Sensor!H12</f>
        <v/>
      </c>
    </row>
    <row r="66">
      <c r="A66" s="25" t="str">
        <f>Sensor!A13</f>
        <v>Idle</v>
      </c>
      <c r="B66" s="17">
        <f>Sensor!B13</f>
        <v>0.0957</v>
      </c>
      <c r="C66" s="25" t="str">
        <f>Sensor!C13</f>
        <v>mW</v>
      </c>
      <c r="D66" s="17">
        <f t="shared" si="3"/>
        <v>0.0957</v>
      </c>
      <c r="E66" s="17">
        <f t="shared" si="5"/>
        <v>0.0957</v>
      </c>
      <c r="F66" s="17">
        <f t="shared" si="14"/>
        <v>0.0957</v>
      </c>
      <c r="G66" s="17">
        <f t="shared" si="22"/>
        <v>0.0957</v>
      </c>
      <c r="H66" s="17">
        <f t="shared" ref="H66:H76" si="25">$B66</f>
        <v>0.0957</v>
      </c>
      <c r="I66" s="25">
        <f>$B66*0.9</f>
        <v>0.08613</v>
      </c>
      <c r="J66" s="17">
        <f t="shared" ref="J66:O66" si="23">$B66</f>
        <v>0.0957</v>
      </c>
      <c r="K66" s="17">
        <f t="shared" si="23"/>
        <v>0.0957</v>
      </c>
      <c r="L66" s="17">
        <f t="shared" si="23"/>
        <v>0.0957</v>
      </c>
      <c r="M66" s="17">
        <f t="shared" si="23"/>
        <v>0.0957</v>
      </c>
      <c r="N66" s="17">
        <f t="shared" si="23"/>
        <v>0.0957</v>
      </c>
      <c r="O66" s="17">
        <f t="shared" si="23"/>
        <v>0.0957</v>
      </c>
      <c r="T66" s="31">
        <f>Sensor!E13</f>
        <v>1</v>
      </c>
      <c r="U66" s="31">
        <f>Sensor!F13</f>
        <v>0</v>
      </c>
      <c r="V66" s="31">
        <f>Sensor!G13</f>
        <v>0</v>
      </c>
      <c r="W66" s="25" t="str">
        <f>Sensor!H13</f>
        <v/>
      </c>
    </row>
    <row r="67">
      <c r="A67" s="25" t="str">
        <f t="shared" ref="A67:C67" si="24">#REF!</f>
        <v>#REF!</v>
      </c>
      <c r="B67" s="25" t="str">
        <f t="shared" si="24"/>
        <v>#REF!</v>
      </c>
      <c r="C67" s="25" t="str">
        <f t="shared" si="24"/>
        <v>#REF!</v>
      </c>
      <c r="D67" s="25" t="str">
        <f t="shared" si="3"/>
        <v>#REF!</v>
      </c>
      <c r="E67" s="25" t="str">
        <f t="shared" si="5"/>
        <v>#REF!</v>
      </c>
      <c r="F67" s="25" t="str">
        <f t="shared" si="14"/>
        <v>#REF!</v>
      </c>
      <c r="G67" s="25" t="str">
        <f t="shared" si="22"/>
        <v>#REF!</v>
      </c>
      <c r="H67" s="25" t="str">
        <f t="shared" si="25"/>
        <v>#REF!</v>
      </c>
      <c r="I67" s="25" t="str">
        <f t="shared" ref="I67:I76" si="28">$B67</f>
        <v>#REF!</v>
      </c>
      <c r="J67" s="25" t="str">
        <f>$B67*0.9</f>
        <v>#REF!</v>
      </c>
      <c r="K67" s="25" t="str">
        <f t="shared" ref="K67:O67" si="26">$B67</f>
        <v>#REF!</v>
      </c>
      <c r="L67" s="25" t="str">
        <f t="shared" si="26"/>
        <v>#REF!</v>
      </c>
      <c r="M67" s="25" t="str">
        <f t="shared" si="26"/>
        <v>#REF!</v>
      </c>
      <c r="N67" s="25" t="str">
        <f t="shared" si="26"/>
        <v>#REF!</v>
      </c>
      <c r="O67" s="25" t="str">
        <f t="shared" si="26"/>
        <v>#REF!</v>
      </c>
      <c r="T67" s="25" t="str">
        <f t="shared" ref="T67:W67" si="27">#REF!</f>
        <v>#REF!</v>
      </c>
      <c r="U67" s="25" t="str">
        <f t="shared" si="27"/>
        <v>#REF!</v>
      </c>
      <c r="V67" s="25" t="str">
        <f t="shared" si="27"/>
        <v>#REF!</v>
      </c>
      <c r="W67" s="25" t="str">
        <f t="shared" si="27"/>
        <v>#REF!</v>
      </c>
    </row>
    <row r="68">
      <c r="A68" s="25" t="str">
        <f>Sensor!A14</f>
        <v/>
      </c>
      <c r="B68" s="17" t="str">
        <f>Sensor!B14</f>
        <v/>
      </c>
      <c r="C68" s="25" t="str">
        <f>Sensor!C14</f>
        <v/>
      </c>
      <c r="D68" s="17" t="str">
        <f t="shared" si="3"/>
        <v/>
      </c>
      <c r="E68" s="17" t="str">
        <f t="shared" si="5"/>
        <v/>
      </c>
      <c r="F68" s="17" t="str">
        <f t="shared" si="14"/>
        <v/>
      </c>
      <c r="G68" s="17" t="str">
        <f t="shared" si="22"/>
        <v/>
      </c>
      <c r="H68" s="17" t="str">
        <f t="shared" si="25"/>
        <v/>
      </c>
      <c r="I68" s="17" t="str">
        <f t="shared" si="28"/>
        <v/>
      </c>
      <c r="J68" s="17" t="str">
        <f t="shared" ref="J68:O68" si="29">$B68</f>
        <v/>
      </c>
      <c r="K68" s="17" t="str">
        <f t="shared" si="29"/>
        <v/>
      </c>
      <c r="L68" s="17" t="str">
        <f t="shared" si="29"/>
        <v/>
      </c>
      <c r="M68" s="17" t="str">
        <f t="shared" si="29"/>
        <v/>
      </c>
      <c r="N68" s="17" t="str">
        <f t="shared" si="29"/>
        <v/>
      </c>
      <c r="O68" s="17" t="str">
        <f t="shared" si="29"/>
        <v/>
      </c>
      <c r="T68" s="25" t="str">
        <f>Sensor!E14</f>
        <v/>
      </c>
      <c r="U68" s="25" t="str">
        <f>Sensor!F14</f>
        <v/>
      </c>
      <c r="V68" s="25" t="str">
        <f>Sensor!G14</f>
        <v/>
      </c>
      <c r="W68" s="25" t="str">
        <f>Sensor!H14</f>
        <v/>
      </c>
    </row>
    <row r="69">
      <c r="A69" s="25" t="str">
        <f t="shared" ref="A69:C69" si="30">#REF!</f>
        <v>#REF!</v>
      </c>
      <c r="B69" s="25" t="str">
        <f t="shared" si="30"/>
        <v>#REF!</v>
      </c>
      <c r="C69" s="25" t="str">
        <f t="shared" si="30"/>
        <v>#REF!</v>
      </c>
      <c r="D69" s="25" t="str">
        <f t="shared" si="3"/>
        <v>#REF!</v>
      </c>
      <c r="E69" s="25" t="str">
        <f t="shared" si="5"/>
        <v>#REF!</v>
      </c>
      <c r="F69" s="25" t="str">
        <f t="shared" si="14"/>
        <v>#REF!</v>
      </c>
      <c r="G69" s="25" t="str">
        <f t="shared" si="22"/>
        <v>#REF!</v>
      </c>
      <c r="H69" s="25" t="str">
        <f t="shared" si="25"/>
        <v>#REF!</v>
      </c>
      <c r="I69" s="25" t="str">
        <f t="shared" si="28"/>
        <v>#REF!</v>
      </c>
      <c r="J69" s="25" t="str">
        <f t="shared" ref="J69:O69" si="31">$B69</f>
        <v>#REF!</v>
      </c>
      <c r="K69" s="25" t="str">
        <f t="shared" si="31"/>
        <v>#REF!</v>
      </c>
      <c r="L69" s="25" t="str">
        <f t="shared" si="31"/>
        <v>#REF!</v>
      </c>
      <c r="M69" s="25" t="str">
        <f t="shared" si="31"/>
        <v>#REF!</v>
      </c>
      <c r="N69" s="25" t="str">
        <f t="shared" si="31"/>
        <v>#REF!</v>
      </c>
      <c r="O69" s="25" t="str">
        <f t="shared" si="31"/>
        <v>#REF!</v>
      </c>
      <c r="T69" s="25" t="str">
        <f t="shared" ref="T69:W69" si="32">#REF!</f>
        <v>#REF!</v>
      </c>
      <c r="U69" s="25" t="str">
        <f t="shared" si="32"/>
        <v>#REF!</v>
      </c>
      <c r="V69" s="25" t="str">
        <f t="shared" si="32"/>
        <v>#REF!</v>
      </c>
      <c r="W69" s="25" t="str">
        <f t="shared" si="32"/>
        <v>#REF!</v>
      </c>
    </row>
    <row r="70">
      <c r="A70" s="25" t="str">
        <f t="shared" ref="A70:C70" si="33">#REF!</f>
        <v>#REF!</v>
      </c>
      <c r="B70" s="25" t="str">
        <f t="shared" si="33"/>
        <v>#REF!</v>
      </c>
      <c r="C70" s="25" t="str">
        <f t="shared" si="33"/>
        <v>#REF!</v>
      </c>
      <c r="D70" s="25" t="str">
        <f t="shared" si="3"/>
        <v>#REF!</v>
      </c>
      <c r="E70" s="25" t="str">
        <f t="shared" si="5"/>
        <v>#REF!</v>
      </c>
      <c r="F70" s="25" t="str">
        <f t="shared" si="14"/>
        <v>#REF!</v>
      </c>
      <c r="G70" s="25" t="str">
        <f t="shared" si="22"/>
        <v>#REF!</v>
      </c>
      <c r="H70" s="25" t="str">
        <f t="shared" si="25"/>
        <v>#REF!</v>
      </c>
      <c r="I70" s="25" t="str">
        <f t="shared" si="28"/>
        <v>#REF!</v>
      </c>
      <c r="J70" s="25" t="str">
        <f t="shared" ref="J70:J76" si="37">$B70</f>
        <v>#REF!</v>
      </c>
      <c r="K70" s="25" t="str">
        <f>$B70*0.9</f>
        <v>#REF!</v>
      </c>
      <c r="L70" s="25" t="str">
        <f t="shared" ref="L70:O70" si="34">$B70</f>
        <v>#REF!</v>
      </c>
      <c r="M70" s="25" t="str">
        <f t="shared" si="34"/>
        <v>#REF!</v>
      </c>
      <c r="N70" s="25" t="str">
        <f t="shared" si="34"/>
        <v>#REF!</v>
      </c>
      <c r="O70" s="25" t="str">
        <f t="shared" si="34"/>
        <v>#REF!</v>
      </c>
      <c r="T70" s="25" t="str">
        <f t="shared" ref="T70:W70" si="35">#REF!</f>
        <v>#REF!</v>
      </c>
      <c r="U70" s="25" t="str">
        <f t="shared" si="35"/>
        <v>#REF!</v>
      </c>
      <c r="V70" s="25" t="str">
        <f t="shared" si="35"/>
        <v>#REF!</v>
      </c>
      <c r="W70" s="25" t="str">
        <f t="shared" si="35"/>
        <v>#REF!</v>
      </c>
    </row>
    <row r="71">
      <c r="A71" s="25" t="str">
        <f t="shared" ref="A71:C71" si="36">#REF!</f>
        <v>#REF!</v>
      </c>
      <c r="B71" s="25" t="str">
        <f t="shared" si="36"/>
        <v>#REF!</v>
      </c>
      <c r="C71" s="25" t="str">
        <f t="shared" si="36"/>
        <v>#REF!</v>
      </c>
      <c r="D71" s="25" t="str">
        <f t="shared" si="3"/>
        <v>#REF!</v>
      </c>
      <c r="E71" s="25" t="str">
        <f t="shared" si="5"/>
        <v>#REF!</v>
      </c>
      <c r="F71" s="25" t="str">
        <f t="shared" si="14"/>
        <v>#REF!</v>
      </c>
      <c r="G71" s="25" t="str">
        <f t="shared" si="22"/>
        <v>#REF!</v>
      </c>
      <c r="H71" s="25" t="str">
        <f t="shared" si="25"/>
        <v>#REF!</v>
      </c>
      <c r="I71" s="25" t="str">
        <f t="shared" si="28"/>
        <v>#REF!</v>
      </c>
      <c r="J71" s="25" t="str">
        <f t="shared" si="37"/>
        <v>#REF!</v>
      </c>
      <c r="K71" s="25" t="str">
        <f t="shared" ref="K71:K76" si="41">$B71</f>
        <v>#REF!</v>
      </c>
      <c r="L71" s="25" t="str">
        <f>$B71*0.9</f>
        <v>#REF!</v>
      </c>
      <c r="M71" s="25" t="str">
        <f t="shared" ref="M71:O71" si="38">$B71</f>
        <v>#REF!</v>
      </c>
      <c r="N71" s="25" t="str">
        <f t="shared" si="38"/>
        <v>#REF!</v>
      </c>
      <c r="O71" s="25" t="str">
        <f t="shared" si="38"/>
        <v>#REF!</v>
      </c>
      <c r="T71" s="25" t="str">
        <f t="shared" ref="T71:W71" si="39">#REF!</f>
        <v>#REF!</v>
      </c>
      <c r="U71" s="25" t="str">
        <f t="shared" si="39"/>
        <v>#REF!</v>
      </c>
      <c r="V71" s="25" t="str">
        <f t="shared" si="39"/>
        <v>#REF!</v>
      </c>
      <c r="W71" s="25" t="str">
        <f t="shared" si="39"/>
        <v>#REF!</v>
      </c>
    </row>
    <row r="72">
      <c r="A72" s="25" t="str">
        <f t="shared" ref="A72:C72" si="40">#REF!</f>
        <v>#REF!</v>
      </c>
      <c r="B72" s="25" t="str">
        <f t="shared" si="40"/>
        <v>#REF!</v>
      </c>
      <c r="C72" s="25" t="str">
        <f t="shared" si="40"/>
        <v>#REF!</v>
      </c>
      <c r="D72" s="25" t="str">
        <f t="shared" si="3"/>
        <v>#REF!</v>
      </c>
      <c r="E72" s="25" t="str">
        <f t="shared" si="5"/>
        <v>#REF!</v>
      </c>
      <c r="F72" s="25" t="str">
        <f t="shared" si="14"/>
        <v>#REF!</v>
      </c>
      <c r="G72" s="25" t="str">
        <f t="shared" si="22"/>
        <v>#REF!</v>
      </c>
      <c r="H72" s="25" t="str">
        <f t="shared" si="25"/>
        <v>#REF!</v>
      </c>
      <c r="I72" s="25" t="str">
        <f t="shared" si="28"/>
        <v>#REF!</v>
      </c>
      <c r="J72" s="25" t="str">
        <f t="shared" si="37"/>
        <v>#REF!</v>
      </c>
      <c r="K72" s="25" t="str">
        <f t="shared" si="41"/>
        <v>#REF!</v>
      </c>
      <c r="L72" s="25" t="str">
        <f t="shared" ref="L72:O72" si="42">$B72</f>
        <v>#REF!</v>
      </c>
      <c r="M72" s="25" t="str">
        <f t="shared" si="42"/>
        <v>#REF!</v>
      </c>
      <c r="N72" s="25" t="str">
        <f t="shared" si="42"/>
        <v>#REF!</v>
      </c>
      <c r="O72" s="25" t="str">
        <f t="shared" si="42"/>
        <v>#REF!</v>
      </c>
      <c r="T72" s="25" t="str">
        <f t="shared" ref="T72:W72" si="43">#REF!</f>
        <v>#REF!</v>
      </c>
      <c r="U72" s="25" t="str">
        <f t="shared" si="43"/>
        <v>#REF!</v>
      </c>
      <c r="V72" s="25" t="str">
        <f t="shared" si="43"/>
        <v>#REF!</v>
      </c>
      <c r="W72" s="25" t="str">
        <f t="shared" si="43"/>
        <v>#REF!</v>
      </c>
    </row>
    <row r="73">
      <c r="A73" s="25" t="str">
        <f>Sensor!A15</f>
        <v>Radio</v>
      </c>
      <c r="B73" s="30" t="str">
        <f>Sensor!B15</f>
        <v>DataSheet</v>
      </c>
      <c r="C73" s="25" t="str">
        <f>Sensor!C15</f>
        <v/>
      </c>
      <c r="D73" s="30" t="str">
        <f t="shared" si="3"/>
        <v>DataSheet</v>
      </c>
      <c r="E73" s="30" t="str">
        <f t="shared" si="5"/>
        <v>DataSheet</v>
      </c>
      <c r="F73" s="30" t="str">
        <f t="shared" si="14"/>
        <v>DataSheet</v>
      </c>
      <c r="G73" s="30" t="str">
        <f t="shared" si="22"/>
        <v>DataSheet</v>
      </c>
      <c r="H73" s="30" t="str">
        <f t="shared" si="25"/>
        <v>DataSheet</v>
      </c>
      <c r="I73" s="30" t="str">
        <f t="shared" si="28"/>
        <v>DataSheet</v>
      </c>
      <c r="J73" s="30" t="str">
        <f t="shared" si="37"/>
        <v>DataSheet</v>
      </c>
      <c r="K73" s="30" t="str">
        <f t="shared" si="41"/>
        <v>DataSheet</v>
      </c>
      <c r="L73" s="30" t="str">
        <f t="shared" ref="L73:O73" si="44">$B73</f>
        <v>DataSheet</v>
      </c>
      <c r="M73" s="30" t="str">
        <f t="shared" si="44"/>
        <v>DataSheet</v>
      </c>
      <c r="N73" s="30" t="str">
        <f t="shared" si="44"/>
        <v>DataSheet</v>
      </c>
      <c r="O73" s="30" t="str">
        <f t="shared" si="44"/>
        <v>DataSheet</v>
      </c>
      <c r="T73" s="25" t="str">
        <f>Sensor!E15</f>
        <v/>
      </c>
      <c r="U73" s="25" t="str">
        <f>Sensor!F15</f>
        <v/>
      </c>
      <c r="V73" s="25" t="str">
        <f>Sensor!G15</f>
        <v/>
      </c>
      <c r="W73" s="25" t="str">
        <f>Sensor!H15</f>
        <v/>
      </c>
    </row>
    <row r="74">
      <c r="A74" s="25" t="str">
        <f>Sensor!A17</f>
        <v>Standby Power</v>
      </c>
      <c r="B74" s="17">
        <f>Sensor!B17</f>
        <v>0</v>
      </c>
      <c r="C74" s="25" t="str">
        <f>Sensor!C17</f>
        <v>mW</v>
      </c>
      <c r="D74" s="17">
        <f t="shared" si="3"/>
        <v>0</v>
      </c>
      <c r="E74" s="17">
        <f t="shared" si="5"/>
        <v>0</v>
      </c>
      <c r="F74" s="17">
        <f t="shared" si="14"/>
        <v>0</v>
      </c>
      <c r="G74" s="17">
        <f t="shared" si="22"/>
        <v>0</v>
      </c>
      <c r="H74" s="17">
        <f t="shared" si="25"/>
        <v>0</v>
      </c>
      <c r="I74" s="17">
        <f t="shared" si="28"/>
        <v>0</v>
      </c>
      <c r="J74" s="17">
        <f t="shared" si="37"/>
        <v>0</v>
      </c>
      <c r="K74" s="17">
        <f t="shared" si="41"/>
        <v>0</v>
      </c>
      <c r="L74" s="17">
        <f t="shared" ref="L74:L76" si="46">$B74</f>
        <v>0</v>
      </c>
      <c r="M74" s="25">
        <f>$B74*0.9</f>
        <v>0</v>
      </c>
      <c r="N74" s="17">
        <f t="shared" ref="N74:O74" si="45">$B74</f>
        <v>0</v>
      </c>
      <c r="O74" s="17">
        <f t="shared" si="45"/>
        <v>0</v>
      </c>
      <c r="T74" s="31">
        <f>Sensor!E17</f>
        <v>1</v>
      </c>
      <c r="U74" s="31">
        <f>Sensor!F17</f>
        <v>1</v>
      </c>
      <c r="V74" s="31">
        <f>Sensor!G17</f>
        <v>0</v>
      </c>
      <c r="W74" s="25" t="str">
        <f>Sensor!H17</f>
        <v/>
      </c>
    </row>
    <row r="75">
      <c r="A75" s="25" t="str">
        <f>Sensor!A18</f>
        <v>TX Power</v>
      </c>
      <c r="B75" s="17">
        <f>Sensor!B18</f>
        <v>1105.5</v>
      </c>
      <c r="C75" s="25" t="str">
        <f>Sensor!C18</f>
        <v>mW</v>
      </c>
      <c r="D75" s="17">
        <f t="shared" si="3"/>
        <v>1105.5</v>
      </c>
      <c r="E75" s="17">
        <f t="shared" si="5"/>
        <v>1105.5</v>
      </c>
      <c r="F75" s="17">
        <f t="shared" si="14"/>
        <v>1105.5</v>
      </c>
      <c r="G75" s="17">
        <f t="shared" si="22"/>
        <v>1105.5</v>
      </c>
      <c r="H75" s="17">
        <f t="shared" si="25"/>
        <v>1105.5</v>
      </c>
      <c r="I75" s="17">
        <f t="shared" si="28"/>
        <v>1105.5</v>
      </c>
      <c r="J75" s="17">
        <f t="shared" si="37"/>
        <v>1105.5</v>
      </c>
      <c r="K75" s="17">
        <f t="shared" si="41"/>
        <v>1105.5</v>
      </c>
      <c r="L75" s="17">
        <f t="shared" si="46"/>
        <v>1105.5</v>
      </c>
      <c r="M75" s="17">
        <f t="shared" ref="M75:M76" si="47">$B75</f>
        <v>1105.5</v>
      </c>
      <c r="N75" s="25">
        <f>$B75*0.9</f>
        <v>994.95</v>
      </c>
      <c r="O75" s="17">
        <f>$B75</f>
        <v>1105.5</v>
      </c>
      <c r="T75" s="31">
        <f>Sensor!E18</f>
        <v>0</v>
      </c>
      <c r="U75" s="31">
        <f>Sensor!F18</f>
        <v>0</v>
      </c>
      <c r="V75" s="31">
        <f>Sensor!G18</f>
        <v>1</v>
      </c>
      <c r="W75" s="25" t="str">
        <f>Sensor!H18</f>
        <v/>
      </c>
    </row>
    <row r="76">
      <c r="A76" s="25" t="str">
        <f>Sensor!A19</f>
        <v>RX Power</v>
      </c>
      <c r="B76" s="17">
        <f>Sensor!B19</f>
        <v>277.2</v>
      </c>
      <c r="C76" s="25" t="str">
        <f>Sensor!C19</f>
        <v>mW</v>
      </c>
      <c r="D76" s="17">
        <f t="shared" si="3"/>
        <v>277.2</v>
      </c>
      <c r="E76" s="17">
        <f t="shared" si="5"/>
        <v>277.2</v>
      </c>
      <c r="F76" s="17">
        <f t="shared" si="14"/>
        <v>277.2</v>
      </c>
      <c r="G76" s="17">
        <f t="shared" si="22"/>
        <v>277.2</v>
      </c>
      <c r="H76" s="17">
        <f t="shared" si="25"/>
        <v>277.2</v>
      </c>
      <c r="I76" s="17">
        <f t="shared" si="28"/>
        <v>277.2</v>
      </c>
      <c r="J76" s="17">
        <f t="shared" si="37"/>
        <v>277.2</v>
      </c>
      <c r="K76" s="17">
        <f t="shared" si="41"/>
        <v>277.2</v>
      </c>
      <c r="L76" s="17">
        <f t="shared" si="46"/>
        <v>277.2</v>
      </c>
      <c r="M76" s="17">
        <f t="shared" si="47"/>
        <v>277.2</v>
      </c>
      <c r="N76" s="17">
        <f>$B76</f>
        <v>277.2</v>
      </c>
      <c r="O76" s="25">
        <f>$B76*0.9</f>
        <v>249.48</v>
      </c>
      <c r="T76" s="31">
        <f>Sensor!E19</f>
        <v>0</v>
      </c>
      <c r="U76" s="31">
        <f>Sensor!F19</f>
        <v>0</v>
      </c>
      <c r="V76" s="31">
        <f>Sensor!G19</f>
        <v>0</v>
      </c>
      <c r="W76" s="25" t="str">
        <f>Sensor!H19</f>
        <v/>
      </c>
    </row>
    <row r="77">
      <c r="A77" s="25" t="str">
        <f>Sensor!A20</f>
        <v/>
      </c>
      <c r="B77" s="25" t="str">
        <f>Sensor!B20</f>
        <v/>
      </c>
      <c r="C77" s="25" t="str">
        <f>Sensor!C20</f>
        <v/>
      </c>
      <c r="D77" s="25" t="str">
        <f>Sensor!D20</f>
        <v/>
      </c>
      <c r="T77" s="25" t="str">
        <f>Sensor!E20</f>
        <v/>
      </c>
      <c r="U77" s="25" t="str">
        <f>Sensor!F20</f>
        <v/>
      </c>
      <c r="V77" s="25" t="str">
        <f>Sensor!G20</f>
        <v/>
      </c>
      <c r="W77" s="25" t="str">
        <f>Sensor!H20</f>
        <v/>
      </c>
    </row>
    <row r="78">
      <c r="A78" s="25" t="str">
        <f>Sensor!A21</f>
        <v/>
      </c>
      <c r="B78" s="25" t="str">
        <f>Sensor!B21</f>
        <v/>
      </c>
      <c r="C78" s="25" t="str">
        <f>Sensor!C21</f>
        <v/>
      </c>
      <c r="D78" s="25" t="str">
        <f>Sensor!D21</f>
        <v/>
      </c>
      <c r="T78" s="25">
        <f>Sensor!E21</f>
        <v>20.4</v>
      </c>
      <c r="U78" s="25">
        <f>Sensor!F21</f>
        <v>2.4</v>
      </c>
      <c r="V78" s="25">
        <f>Sensor!G21</f>
        <v>1.2</v>
      </c>
      <c r="W78" s="25" t="str">
        <f>Sensor!H21</f>
        <v>hours/day typical usage</v>
      </c>
    </row>
    <row r="79">
      <c r="A79" s="25" t="str">
        <f>Sensor!A22</f>
        <v>Battery</v>
      </c>
      <c r="B79" s="30" t="str">
        <f>Sensor!B22</f>
        <v>Datasheet</v>
      </c>
      <c r="C79" s="25" t="str">
        <f>Sensor!C22</f>
        <v/>
      </c>
      <c r="D79" s="25" t="str">
        <f>Sensor!D22</f>
        <v/>
      </c>
      <c r="T79" s="25" t="str">
        <f>Sensor!E22</f>
        <v/>
      </c>
      <c r="U79" s="25" t="str">
        <f>Sensor!F22</f>
        <v/>
      </c>
      <c r="V79" s="25" t="str">
        <f>Sensor!G22</f>
        <v/>
      </c>
      <c r="W79" s="25" t="str">
        <f>Sensor!H22</f>
        <v/>
      </c>
    </row>
    <row r="80">
      <c r="A80" s="25" t="str">
        <f>Sensor!A23</f>
        <v>Capacity</v>
      </c>
      <c r="B80" s="17">
        <f>Sensor!B23</f>
        <v>700</v>
      </c>
      <c r="C80" s="25" t="str">
        <f>Sensor!C23</f>
        <v>mAh</v>
      </c>
      <c r="D80" s="25" t="str">
        <f>Sensor!D23</f>
        <v/>
      </c>
      <c r="T80" s="25" t="str">
        <f>Sensor!E23</f>
        <v/>
      </c>
      <c r="U80" s="25" t="str">
        <f>Sensor!F23</f>
        <v/>
      </c>
      <c r="V80" s="25" t="str">
        <f>Sensor!G23</f>
        <v/>
      </c>
      <c r="W80" s="25" t="str">
        <f>Sensor!H23</f>
        <v/>
      </c>
    </row>
    <row r="81">
      <c r="A81" s="25" t="str">
        <f>Sensor!A24</f>
        <v>Nominal Voltage</v>
      </c>
      <c r="B81" s="17">
        <f>Sensor!B24</f>
        <v>3.7</v>
      </c>
      <c r="C81" s="25" t="str">
        <f>Sensor!C24</f>
        <v>V</v>
      </c>
      <c r="D81" s="25" t="str">
        <f>Sensor!D24</f>
        <v/>
      </c>
      <c r="T81" s="25" t="str">
        <f>Sensor!E24</f>
        <v/>
      </c>
      <c r="U81" s="25" t="str">
        <f>Sensor!F24</f>
        <v/>
      </c>
      <c r="V81" s="25" t="str">
        <f>Sensor!G24</f>
        <v/>
      </c>
      <c r="W81" s="25" t="str">
        <f>Sensor!H24</f>
        <v/>
      </c>
    </row>
    <row r="82">
      <c r="A82" s="25" t="str">
        <f>Sensor!A25</f>
        <v>Regulator Efficiency</v>
      </c>
      <c r="B82" s="31">
        <f>Sensor!B25</f>
        <v>0.99</v>
      </c>
      <c r="C82" s="25" t="str">
        <f>Sensor!C25</f>
        <v/>
      </c>
      <c r="D82" s="25" t="str">
        <f>Sensor!D25</f>
        <v/>
      </c>
      <c r="T82" s="25" t="str">
        <f>Sensor!E25</f>
        <v/>
      </c>
      <c r="U82" s="25" t="str">
        <f>Sensor!F25</f>
        <v/>
      </c>
      <c r="V82" s="25" t="str">
        <f>Sensor!G25</f>
        <v/>
      </c>
      <c r="W82" s="25" t="str">
        <f>Sensor!H25</f>
        <v/>
      </c>
    </row>
    <row r="83">
      <c r="A83" s="25" t="str">
        <f>Sensor!A26</f>
        <v/>
      </c>
      <c r="B83" s="25" t="str">
        <f>Sensor!B26</f>
        <v/>
      </c>
      <c r="C83" s="25" t="str">
        <f>Sensor!C26</f>
        <v/>
      </c>
      <c r="D83" s="25" t="str">
        <f>Sensor!D26</f>
        <v/>
      </c>
      <c r="O83" s="25" t="str">
        <f>Sensor!E26</f>
        <v/>
      </c>
      <c r="P83" s="25" t="str">
        <f>Sensor!F26</f>
        <v/>
      </c>
      <c r="Q83" s="25" t="str">
        <f>Sensor!G26</f>
        <v/>
      </c>
      <c r="R83" s="25" t="str">
        <f>Sensor!H26</f>
        <v/>
      </c>
      <c r="S83" s="25" t="str">
        <f>Sensor!I26</f>
        <v/>
      </c>
      <c r="T83" s="25" t="str">
        <f>Sensor!J30</f>
        <v/>
      </c>
      <c r="U83" s="25" t="str">
        <f t="shared" ref="U83:V83" si="48">#REF!</f>
        <v>#REF!</v>
      </c>
      <c r="V83" s="25" t="str">
        <f t="shared" si="48"/>
        <v>#REF!</v>
      </c>
    </row>
    <row r="84">
      <c r="A84" s="25" t="str">
        <f>Sensor!A27</f>
        <v/>
      </c>
      <c r="B84" s="25" t="str">
        <f>Sensor!B27</f>
        <v/>
      </c>
      <c r="C84" s="25" t="str">
        <f>Sensor!C27</f>
        <v/>
      </c>
      <c r="D84" s="25" t="str">
        <f>Sensor!D27</f>
        <v/>
      </c>
      <c r="O84" s="25" t="str">
        <f>Sensor!E27</f>
        <v/>
      </c>
      <c r="P84" s="25" t="str">
        <f>Sensor!F27</f>
        <v/>
      </c>
      <c r="Q84" s="25" t="str">
        <f>Sensor!G27</f>
        <v/>
      </c>
      <c r="R84" s="25" t="str">
        <f>Sensor!H27</f>
        <v/>
      </c>
      <c r="S84" s="25" t="str">
        <f>Sensor!I27</f>
        <v/>
      </c>
      <c r="T84" s="25" t="str">
        <f>Sensor!J31</f>
        <v/>
      </c>
      <c r="U84" s="25" t="str">
        <f t="shared" ref="U84:V84" si="49">#REF!</f>
        <v>#REF!</v>
      </c>
      <c r="V84" s="25" t="str">
        <f t="shared" si="49"/>
        <v>#REF!</v>
      </c>
    </row>
    <row r="85">
      <c r="A85" s="25" t="str">
        <f>Sensor!A28</f>
        <v/>
      </c>
      <c r="B85" s="25" t="str">
        <f>Sensor!K19</f>
        <v/>
      </c>
      <c r="C85" s="25" t="str">
        <f>Sensor!L19</f>
        <v/>
      </c>
      <c r="D85" s="25" t="str">
        <f>Sensor!M19</f>
        <v/>
      </c>
      <c r="O85" s="25" t="str">
        <f>Sensor!N19</f>
        <v/>
      </c>
      <c r="P85" s="25" t="str">
        <f>Sensor!O19</f>
        <v/>
      </c>
      <c r="Q85" s="25" t="str">
        <f>Sensor!P19</f>
        <v/>
      </c>
      <c r="R85" s="25" t="str">
        <f>Sensor!Q19</f>
        <v/>
      </c>
      <c r="S85" s="25" t="str">
        <f>Sensor!I28</f>
        <v/>
      </c>
      <c r="T85" s="25" t="str">
        <f t="shared" ref="T85:V85" si="50">#REF!</f>
        <v>#REF!</v>
      </c>
      <c r="U85" s="25" t="str">
        <f t="shared" si="50"/>
        <v>#REF!</v>
      </c>
      <c r="V85" s="25" t="str">
        <f t="shared" si="50"/>
        <v>#REF!</v>
      </c>
    </row>
    <row r="86">
      <c r="A86" s="25" t="str">
        <f>Sensor!A29</f>
        <v>REFLECTIONS : WHAT DID YOU LEARN FROM ANALYZING YOUR POWER.  TALK ABOUT SOME POTENTIAL TRADEOFFS. </v>
      </c>
      <c r="B86" s="25" t="str">
        <f>Sensor!K20</f>
        <v/>
      </c>
      <c r="C86" s="25" t="str">
        <f t="shared" ref="C86:D86" si="51">#REF!</f>
        <v>#REF!</v>
      </c>
      <c r="D86" s="25" t="str">
        <f t="shared" si="51"/>
        <v>#REF!</v>
      </c>
      <c r="O86" s="25" t="str">
        <f t="shared" ref="O86:Q86" si="52">#REF!</f>
        <v>#REF!</v>
      </c>
      <c r="P86" s="25" t="str">
        <f t="shared" si="52"/>
        <v>#REF!</v>
      </c>
      <c r="Q86" s="25" t="str">
        <f t="shared" si="52"/>
        <v>#REF!</v>
      </c>
      <c r="R86" s="25" t="str">
        <f>Sensor!Q20</f>
        <v/>
      </c>
      <c r="S86" s="25" t="str">
        <f>Sensor!I29</f>
        <v/>
      </c>
      <c r="T86" s="25" t="str">
        <f t="shared" ref="T86:V86" si="53">#REF!</f>
        <v>#REF!</v>
      </c>
      <c r="U86" s="25" t="str">
        <f t="shared" si="53"/>
        <v>#REF!</v>
      </c>
      <c r="V86" s="25" t="str">
        <f t="shared" si="53"/>
        <v>#REF!</v>
      </c>
    </row>
    <row r="87">
      <c r="A87" s="25" t="str">
        <f>Sensor!L20</f>
        <v>Total power in profile (mw)</v>
      </c>
      <c r="B87" s="25" t="str">
        <f>Sensor!M20</f>
        <v/>
      </c>
      <c r="C87" s="25" t="str">
        <f>Sensor!N20</f>
        <v/>
      </c>
      <c r="R87" s="25" t="str">
        <f>Sensor!Q21</f>
        <v/>
      </c>
      <c r="S87" s="25" t="str">
        <f>Sensor!I30</f>
        <v/>
      </c>
      <c r="T87" s="25" t="str">
        <f t="shared" ref="T87:V87" si="54">#REF!</f>
        <v>#REF!</v>
      </c>
      <c r="U87" s="25" t="str">
        <f t="shared" si="54"/>
        <v>#REF!</v>
      </c>
      <c r="V87" s="25" t="str">
        <f t="shared" si="54"/>
        <v>#REF!</v>
      </c>
    </row>
    <row r="88">
      <c r="A88" s="25" t="str">
        <f>Sensor!L21</f>
        <v>"off"</v>
      </c>
      <c r="B88" s="25" t="str">
        <f>sumproduct(B56:B76, $T56:$T76)</f>
        <v>#REF!</v>
      </c>
      <c r="C88" s="25" t="str">
        <f>Sensor!N21</f>
        <v>mW</v>
      </c>
      <c r="D88" s="25" t="str">
        <f t="shared" ref="D88:O88" si="55">sumproduct(D56:D76, $T56:$T76)</f>
        <v>#REF!</v>
      </c>
      <c r="E88" s="25" t="str">
        <f t="shared" si="55"/>
        <v>#REF!</v>
      </c>
      <c r="F88" s="25" t="str">
        <f t="shared" si="55"/>
        <v>#REF!</v>
      </c>
      <c r="G88" s="25" t="str">
        <f t="shared" si="55"/>
        <v>#REF!</v>
      </c>
      <c r="H88" s="25" t="str">
        <f t="shared" si="55"/>
        <v>#REF!</v>
      </c>
      <c r="I88" s="25" t="str">
        <f t="shared" si="55"/>
        <v>#REF!</v>
      </c>
      <c r="J88" s="25" t="str">
        <f t="shared" si="55"/>
        <v>#REF!</v>
      </c>
      <c r="K88" s="25" t="str">
        <f t="shared" si="55"/>
        <v>#REF!</v>
      </c>
      <c r="L88" s="25" t="str">
        <f t="shared" si="55"/>
        <v>#REF!</v>
      </c>
      <c r="M88" s="25" t="str">
        <f t="shared" si="55"/>
        <v>#REF!</v>
      </c>
      <c r="N88" s="25" t="str">
        <f t="shared" si="55"/>
        <v>#REF!</v>
      </c>
      <c r="O88" s="25" t="str">
        <f t="shared" si="55"/>
        <v>#REF!</v>
      </c>
      <c r="R88" s="25" t="str">
        <f>Sensor!Q22</f>
        <v/>
      </c>
      <c r="S88" s="25" t="str">
        <f>Sensor!I31</f>
        <v/>
      </c>
      <c r="T88" s="25" t="str">
        <f t="shared" ref="T88:V88" si="56">#REF!</f>
        <v>#REF!</v>
      </c>
      <c r="U88" s="25" t="str">
        <f t="shared" si="56"/>
        <v>#REF!</v>
      </c>
      <c r="V88" s="25" t="str">
        <f t="shared" si="56"/>
        <v>#REF!</v>
      </c>
    </row>
    <row r="89">
      <c r="A89" s="25" t="str">
        <f>Sensor!L22</f>
        <v>"sensing"</v>
      </c>
      <c r="B89" s="25" t="str">
        <f>sumproduct(B56:B76,$U56:$U76)</f>
        <v>#REF!</v>
      </c>
      <c r="C89" s="25" t="str">
        <f>Sensor!N22</f>
        <v>mW</v>
      </c>
      <c r="D89" s="25" t="str">
        <f t="shared" ref="D89:O89" si="57">sumproduct(D56:D76,$U56:$U76)</f>
        <v>#REF!</v>
      </c>
      <c r="E89" s="25" t="str">
        <f t="shared" si="57"/>
        <v>#REF!</v>
      </c>
      <c r="F89" s="25" t="str">
        <f t="shared" si="57"/>
        <v>#REF!</v>
      </c>
      <c r="G89" s="25" t="str">
        <f t="shared" si="57"/>
        <v>#REF!</v>
      </c>
      <c r="H89" s="25" t="str">
        <f t="shared" si="57"/>
        <v>#REF!</v>
      </c>
      <c r="I89" s="25" t="str">
        <f t="shared" si="57"/>
        <v>#REF!</v>
      </c>
      <c r="J89" s="25" t="str">
        <f t="shared" si="57"/>
        <v>#REF!</v>
      </c>
      <c r="K89" s="25" t="str">
        <f t="shared" si="57"/>
        <v>#REF!</v>
      </c>
      <c r="L89" s="25" t="str">
        <f t="shared" si="57"/>
        <v>#REF!</v>
      </c>
      <c r="M89" s="25" t="str">
        <f t="shared" si="57"/>
        <v>#REF!</v>
      </c>
      <c r="N89" s="25" t="str">
        <f t="shared" si="57"/>
        <v>#REF!</v>
      </c>
      <c r="O89" s="25" t="str">
        <f t="shared" si="57"/>
        <v>#REF!</v>
      </c>
      <c r="R89" s="25" t="str">
        <f>Sensor!Q23</f>
        <v/>
      </c>
      <c r="S89" s="25" t="str">
        <f>Sensor!I32</f>
        <v/>
      </c>
      <c r="T89" s="25" t="str">
        <f>Sensor!J32</f>
        <v/>
      </c>
      <c r="U89" s="25" t="str">
        <f>Sensor!K32</f>
        <v/>
      </c>
      <c r="V89" s="25" t="str">
        <f>Sensor!L32</f>
        <v/>
      </c>
    </row>
    <row r="90">
      <c r="A90" s="25" t="str">
        <f>Sensor!L23</f>
        <v>"interactive"</v>
      </c>
      <c r="B90" s="25" t="str">
        <f>sumproduct(B56:B76, $V56:$V76)</f>
        <v>#REF!</v>
      </c>
      <c r="C90" s="25" t="str">
        <f>Sensor!N23</f>
        <v>mW</v>
      </c>
      <c r="D90" s="25" t="str">
        <f t="shared" ref="D90:O90" si="58">sumproduct(D56:D76, $V56:$V76)</f>
        <v>#REF!</v>
      </c>
      <c r="E90" s="25" t="str">
        <f t="shared" si="58"/>
        <v>#REF!</v>
      </c>
      <c r="F90" s="25" t="str">
        <f t="shared" si="58"/>
        <v>#REF!</v>
      </c>
      <c r="G90" s="25" t="str">
        <f t="shared" si="58"/>
        <v>#REF!</v>
      </c>
      <c r="H90" s="25" t="str">
        <f t="shared" si="58"/>
        <v>#REF!</v>
      </c>
      <c r="I90" s="25" t="str">
        <f t="shared" si="58"/>
        <v>#REF!</v>
      </c>
      <c r="J90" s="25" t="str">
        <f t="shared" si="58"/>
        <v>#REF!</v>
      </c>
      <c r="K90" s="25" t="str">
        <f t="shared" si="58"/>
        <v>#REF!</v>
      </c>
      <c r="L90" s="25" t="str">
        <f t="shared" si="58"/>
        <v>#REF!</v>
      </c>
      <c r="M90" s="25" t="str">
        <f t="shared" si="58"/>
        <v>#REF!</v>
      </c>
      <c r="N90" s="25" t="str">
        <f t="shared" si="58"/>
        <v>#REF!</v>
      </c>
      <c r="O90" s="25" t="str">
        <f t="shared" si="58"/>
        <v>#REF!</v>
      </c>
      <c r="R90" s="25" t="str">
        <f>Sensor!Q24</f>
        <v/>
      </c>
      <c r="S90" s="25" t="str">
        <f>Sensor!I33</f>
        <v/>
      </c>
      <c r="T90" s="25" t="str">
        <f>Sensor!J33</f>
        <v/>
      </c>
      <c r="U90" s="25" t="str">
        <f>Sensor!K33</f>
        <v/>
      </c>
      <c r="V90" s="25" t="str">
        <f>Sensor!L33</f>
        <v/>
      </c>
    </row>
    <row r="91">
      <c r="A91" s="25" t="str">
        <f>Sensor!L24</f>
        <v/>
      </c>
      <c r="B91" s="25" t="str">
        <f>Sensor!M24</f>
        <v/>
      </c>
      <c r="C91" s="25" t="str">
        <f>Sensor!N24</f>
        <v/>
      </c>
      <c r="D91" s="25" t="str">
        <f>Sensor!O24</f>
        <v/>
      </c>
      <c r="E91" s="25" t="str">
        <f>Sensor!P24</f>
        <v/>
      </c>
      <c r="F91" s="25" t="str">
        <f>Sensor!Q25</f>
        <v/>
      </c>
      <c r="G91" s="25" t="str">
        <f>Sensor!I34</f>
        <v/>
      </c>
      <c r="H91" s="25" t="str">
        <f>Sensor!J34</f>
        <v/>
      </c>
      <c r="I91" s="25" t="str">
        <f>Sensor!K34</f>
        <v/>
      </c>
      <c r="J91" s="25" t="str">
        <f>Sensor!L34</f>
        <v/>
      </c>
      <c r="K91" s="25" t="str">
        <f>Sensor!M34</f>
        <v/>
      </c>
      <c r="L91" s="25" t="str">
        <f>Sensor!N34</f>
        <v/>
      </c>
      <c r="M91" s="25" t="str">
        <f>Sensor!O34</f>
        <v/>
      </c>
      <c r="N91" s="25" t="str">
        <f>Sensor!P34</f>
        <v/>
      </c>
      <c r="O91" s="25" t="str">
        <f>Sensor!Q34</f>
        <v/>
      </c>
      <c r="R91" s="25" t="str">
        <f>Sensor!Q25</f>
        <v/>
      </c>
      <c r="S91" s="25" t="str">
        <f>Sensor!I34</f>
        <v/>
      </c>
      <c r="T91" s="25" t="str">
        <f>Sensor!J34</f>
        <v/>
      </c>
      <c r="U91" s="25" t="str">
        <f>Sensor!K34</f>
        <v/>
      </c>
      <c r="V91" s="25" t="str">
        <f>Sensor!L34</f>
        <v/>
      </c>
    </row>
    <row r="92">
      <c r="A92" s="25" t="str">
        <f>Sensor!L25</f>
        <v>Effective Battery Capacity</v>
      </c>
      <c r="B92" s="25" t="str">
        <f>Sensor!M25</f>
        <v/>
      </c>
      <c r="C92" s="25" t="str">
        <f>Sensor!N25</f>
        <v/>
      </c>
      <c r="D92" s="25" t="str">
        <f>Sensor!O25</f>
        <v/>
      </c>
      <c r="E92" s="25" t="str">
        <f>Sensor!P25</f>
        <v/>
      </c>
      <c r="F92" s="25" t="str">
        <f>Sensor!Q26</f>
        <v/>
      </c>
      <c r="G92" s="25" t="str">
        <f>Sensor!I35</f>
        <v/>
      </c>
      <c r="H92" s="25" t="str">
        <f>Sensor!J35</f>
        <v/>
      </c>
      <c r="I92" s="25" t="str">
        <f>Sensor!K35</f>
        <v/>
      </c>
      <c r="J92" s="25" t="str">
        <f>Sensor!L35</f>
        <v/>
      </c>
      <c r="K92" s="25" t="str">
        <f>Sensor!M35</f>
        <v/>
      </c>
      <c r="L92" s="25" t="str">
        <f>Sensor!N35</f>
        <v/>
      </c>
      <c r="M92" s="25" t="str">
        <f>Sensor!O35</f>
        <v/>
      </c>
      <c r="N92" s="25" t="str">
        <f>Sensor!P35</f>
        <v/>
      </c>
      <c r="O92" s="25" t="str">
        <f>Sensor!Q35</f>
        <v/>
      </c>
      <c r="P92" s="25" t="str">
        <f>Sensor!O25</f>
        <v/>
      </c>
      <c r="Q92" s="25" t="str">
        <f>Sensor!P25</f>
        <v/>
      </c>
      <c r="R92" s="25" t="str">
        <f>Sensor!Q26</f>
        <v/>
      </c>
      <c r="S92" s="25" t="str">
        <f>Sensor!I35</f>
        <v/>
      </c>
      <c r="T92" s="25" t="str">
        <f>Sensor!J35</f>
        <v/>
      </c>
      <c r="U92" s="25" t="str">
        <f>Sensor!K35</f>
        <v/>
      </c>
      <c r="V92" s="25" t="str">
        <f>Sensor!L35</f>
        <v/>
      </c>
    </row>
    <row r="93">
      <c r="A93" s="25" t="str">
        <f>Sensor!L26</f>
        <v/>
      </c>
      <c r="B93" s="25">
        <f>B80*B81*B82</f>
        <v>2564.1</v>
      </c>
      <c r="C93" s="25" t="str">
        <f>Sensor!N26</f>
        <v>mW*h</v>
      </c>
      <c r="D93" s="25">
        <f t="shared" ref="D93:O93" si="59">$B93</f>
        <v>2564.1</v>
      </c>
      <c r="E93" s="25">
        <f t="shared" si="59"/>
        <v>2564.1</v>
      </c>
      <c r="F93" s="25">
        <f t="shared" si="59"/>
        <v>2564.1</v>
      </c>
      <c r="G93" s="25">
        <f t="shared" si="59"/>
        <v>2564.1</v>
      </c>
      <c r="H93" s="25">
        <f t="shared" si="59"/>
        <v>2564.1</v>
      </c>
      <c r="I93" s="25">
        <f t="shared" si="59"/>
        <v>2564.1</v>
      </c>
      <c r="J93" s="25">
        <f t="shared" si="59"/>
        <v>2564.1</v>
      </c>
      <c r="K93" s="25">
        <f t="shared" si="59"/>
        <v>2564.1</v>
      </c>
      <c r="L93" s="25">
        <f t="shared" si="59"/>
        <v>2564.1</v>
      </c>
      <c r="M93" s="25">
        <f t="shared" si="59"/>
        <v>2564.1</v>
      </c>
      <c r="N93" s="25">
        <f t="shared" si="59"/>
        <v>2564.1</v>
      </c>
      <c r="O93" s="25">
        <f t="shared" si="59"/>
        <v>2564.1</v>
      </c>
      <c r="P93" s="25" t="str">
        <f>Sensor!O26</f>
        <v/>
      </c>
      <c r="Q93" s="25" t="str">
        <f>Sensor!P26</f>
        <v/>
      </c>
      <c r="R93" s="25" t="str">
        <f>Sensor!Q27</f>
        <v/>
      </c>
      <c r="S93" s="25" t="str">
        <f>Sensor!I36</f>
        <v/>
      </c>
      <c r="T93" s="25" t="str">
        <f>Sensor!J36</f>
        <v/>
      </c>
      <c r="U93" s="25" t="str">
        <f>Sensor!K36</f>
        <v/>
      </c>
      <c r="V93" s="25" t="str">
        <f>Sensor!L36</f>
        <v/>
      </c>
    </row>
    <row r="94">
      <c r="A94" s="25" t="str">
        <f>Sensor!L27</f>
        <v/>
      </c>
      <c r="B94" s="25" t="str">
        <f>Sensor!M27</f>
        <v/>
      </c>
      <c r="C94" s="25" t="str">
        <f>Sensor!N27</f>
        <v/>
      </c>
      <c r="D94" s="25" t="str">
        <f>Sensor!O27</f>
        <v/>
      </c>
      <c r="E94" s="25" t="str">
        <f>Sensor!P27</f>
        <v/>
      </c>
      <c r="F94" s="25" t="str">
        <f>Sensor!Q28</f>
        <v/>
      </c>
      <c r="G94" s="25" t="str">
        <f>Sensor!I37</f>
        <v/>
      </c>
      <c r="H94" s="25" t="str">
        <f>Sensor!J37</f>
        <v/>
      </c>
      <c r="I94" s="25" t="str">
        <f>Sensor!K37</f>
        <v/>
      </c>
      <c r="J94" s="25" t="str">
        <f>Sensor!L37</f>
        <v/>
      </c>
      <c r="K94" s="25" t="str">
        <f>Sensor!M37</f>
        <v/>
      </c>
      <c r="L94" s="25" t="str">
        <f>Sensor!N37</f>
        <v/>
      </c>
      <c r="M94" s="25" t="str">
        <f>Sensor!O37</f>
        <v/>
      </c>
      <c r="N94" s="25" t="str">
        <f>Sensor!P37</f>
        <v/>
      </c>
      <c r="O94" s="25" t="str">
        <f>Sensor!Q37</f>
        <v/>
      </c>
      <c r="P94" s="25" t="str">
        <f>Sensor!O27</f>
        <v/>
      </c>
      <c r="Q94" s="25" t="str">
        <f>Sensor!P27</f>
        <v/>
      </c>
      <c r="R94" s="25" t="str">
        <f>Sensor!Q28</f>
        <v/>
      </c>
      <c r="S94" s="25" t="str">
        <f>Sensor!I37</f>
        <v/>
      </c>
      <c r="T94" s="25" t="str">
        <f>Sensor!J37</f>
        <v/>
      </c>
      <c r="U94" s="25" t="str">
        <f>Sensor!K37</f>
        <v/>
      </c>
      <c r="V94" s="25" t="str">
        <f>Sensor!L37</f>
        <v/>
      </c>
    </row>
    <row r="95">
      <c r="A95" s="25" t="str">
        <f>Sensor!L28</f>
        <v>Days of Use</v>
      </c>
      <c r="B95" s="25" t="str">
        <f>B93/($T78*B88+$U78*B89+$V78*B90)</f>
        <v>#REF!</v>
      </c>
      <c r="C95" s="25" t="str">
        <f>Sensor!N28</f>
        <v>days</v>
      </c>
      <c r="D95" s="25" t="str">
        <f t="shared" ref="D95:O95" si="60">D93/($T78*D88+$U78*D89+$V78*D90)</f>
        <v>#REF!</v>
      </c>
      <c r="E95" s="25" t="str">
        <f t="shared" si="60"/>
        <v>#REF!</v>
      </c>
      <c r="F95" s="25" t="str">
        <f t="shared" si="60"/>
        <v>#REF!</v>
      </c>
      <c r="G95" s="25" t="str">
        <f t="shared" si="60"/>
        <v>#REF!</v>
      </c>
      <c r="H95" s="25" t="str">
        <f t="shared" si="60"/>
        <v>#REF!</v>
      </c>
      <c r="I95" s="25" t="str">
        <f t="shared" si="60"/>
        <v>#REF!</v>
      </c>
      <c r="J95" s="25" t="str">
        <f t="shared" si="60"/>
        <v>#REF!</v>
      </c>
      <c r="K95" s="25" t="str">
        <f t="shared" si="60"/>
        <v>#REF!</v>
      </c>
      <c r="L95" s="25" t="str">
        <f t="shared" si="60"/>
        <v>#REF!</v>
      </c>
      <c r="M95" s="25" t="str">
        <f t="shared" si="60"/>
        <v>#REF!</v>
      </c>
      <c r="N95" s="25" t="str">
        <f t="shared" si="60"/>
        <v>#REF!</v>
      </c>
      <c r="O95" s="25" t="str">
        <f t="shared" si="60"/>
        <v>#REF!</v>
      </c>
      <c r="P95" s="25" t="str">
        <f>Sensor!O28</f>
        <v/>
      </c>
      <c r="Q95" s="25" t="str">
        <f>Sensor!P28</f>
        <v/>
      </c>
      <c r="R95" s="25" t="str">
        <f>Sensor!Q29</f>
        <v/>
      </c>
      <c r="S95" s="25" t="str">
        <f>Sensor!I38</f>
        <v/>
      </c>
      <c r="T95" s="25" t="str">
        <f>Sensor!J38</f>
        <v/>
      </c>
      <c r="U95" s="25" t="str">
        <f>Sensor!K38</f>
        <v/>
      </c>
      <c r="V95" s="25" t="str">
        <f>Sensor!L38</f>
        <v/>
      </c>
    </row>
    <row r="96">
      <c r="A96" s="25" t="str">
        <f>Sensor!L29</f>
        <v>Hours of Use</v>
      </c>
      <c r="B96" s="25" t="str">
        <f>B95*24</f>
        <v>#REF!</v>
      </c>
      <c r="C96" s="25" t="str">
        <f>Sensor!N29</f>
        <v>hours</v>
      </c>
      <c r="D96" s="25" t="str">
        <f t="shared" ref="D96:O96" si="61">D95*24</f>
        <v>#REF!</v>
      </c>
      <c r="E96" s="25" t="str">
        <f t="shared" si="61"/>
        <v>#REF!</v>
      </c>
      <c r="F96" s="25" t="str">
        <f t="shared" si="61"/>
        <v>#REF!</v>
      </c>
      <c r="G96" s="25" t="str">
        <f t="shared" si="61"/>
        <v>#REF!</v>
      </c>
      <c r="H96" s="25" t="str">
        <f t="shared" si="61"/>
        <v>#REF!</v>
      </c>
      <c r="I96" s="25" t="str">
        <f t="shared" si="61"/>
        <v>#REF!</v>
      </c>
      <c r="J96" s="25" t="str">
        <f t="shared" si="61"/>
        <v>#REF!</v>
      </c>
      <c r="K96" s="25" t="str">
        <f t="shared" si="61"/>
        <v>#REF!</v>
      </c>
      <c r="L96" s="25" t="str">
        <f t="shared" si="61"/>
        <v>#REF!</v>
      </c>
      <c r="M96" s="25" t="str">
        <f t="shared" si="61"/>
        <v>#REF!</v>
      </c>
      <c r="N96" s="25" t="str">
        <f t="shared" si="61"/>
        <v>#REF!</v>
      </c>
      <c r="O96" s="25" t="str">
        <f t="shared" si="61"/>
        <v>#REF!</v>
      </c>
      <c r="P96" s="25" t="str">
        <f>Sensor!O29</f>
        <v/>
      </c>
      <c r="Q96" s="25" t="str">
        <f>Sensor!P29</f>
        <v/>
      </c>
      <c r="R96" s="25" t="str">
        <f>Sensor!Q30</f>
        <v/>
      </c>
      <c r="S96" s="25" t="str">
        <f>Sensor!I39</f>
        <v/>
      </c>
      <c r="T96" s="25" t="str">
        <f>Sensor!J39</f>
        <v/>
      </c>
      <c r="U96" s="25" t="str">
        <f>Sensor!K39</f>
        <v/>
      </c>
      <c r="V96" s="25" t="str">
        <f>Sensor!L39</f>
        <v/>
      </c>
    </row>
    <row r="97">
      <c r="A97" s="25" t="str">
        <f>Sensor!A40</f>
        <v/>
      </c>
      <c r="B97" s="25" t="str">
        <f>Sensor!K31</f>
        <v/>
      </c>
      <c r="C97" s="25" t="str">
        <f>Sensor!L31</f>
        <v/>
      </c>
      <c r="D97" s="25" t="str">
        <f>Sensor!M31</f>
        <v/>
      </c>
      <c r="O97" s="25" t="str">
        <f>Sensor!N31</f>
        <v/>
      </c>
      <c r="P97" s="25" t="str">
        <f>Sensor!O31</f>
        <v/>
      </c>
      <c r="Q97" s="25" t="str">
        <f>Sensor!P31</f>
        <v/>
      </c>
      <c r="R97" s="25" t="str">
        <f>Sensor!Q31</f>
        <v/>
      </c>
      <c r="S97" s="25" t="str">
        <f>Sensor!I40</f>
        <v/>
      </c>
      <c r="T97" s="25" t="str">
        <f>Sensor!J40</f>
        <v/>
      </c>
      <c r="U97" s="25" t="str">
        <f>Sensor!K40</f>
        <v/>
      </c>
      <c r="V97" s="25" t="str">
        <f>Sensor!L40</f>
        <v/>
      </c>
    </row>
    <row r="98">
      <c r="A98" s="9" t="s">
        <v>44</v>
      </c>
      <c r="B98" s="25" t="str">
        <f t="shared" ref="B98:C98" si="62">#REF!</f>
        <v>#REF!</v>
      </c>
      <c r="C98" s="25" t="str">
        <f t="shared" si="62"/>
        <v>#REF!</v>
      </c>
      <c r="D98" s="33" t="str">
        <f t="shared" ref="D98:O98" si="63">D96/$B96-1</f>
        <v>#REF!</v>
      </c>
      <c r="E98" s="33" t="str">
        <f t="shared" si="63"/>
        <v>#REF!</v>
      </c>
      <c r="F98" s="33" t="str">
        <f t="shared" si="63"/>
        <v>#REF!</v>
      </c>
      <c r="G98" s="33" t="str">
        <f t="shared" si="63"/>
        <v>#REF!</v>
      </c>
      <c r="H98" s="33" t="str">
        <f t="shared" si="63"/>
        <v>#REF!</v>
      </c>
      <c r="I98" s="33" t="str">
        <f t="shared" si="63"/>
        <v>#REF!</v>
      </c>
      <c r="J98" s="33" t="str">
        <f t="shared" si="63"/>
        <v>#REF!</v>
      </c>
      <c r="K98" s="33" t="str">
        <f t="shared" si="63"/>
        <v>#REF!</v>
      </c>
      <c r="L98" s="33" t="str">
        <f t="shared" si="63"/>
        <v>#REF!</v>
      </c>
      <c r="M98" s="33" t="str">
        <f t="shared" si="63"/>
        <v>#REF!</v>
      </c>
      <c r="N98" s="33" t="str">
        <f t="shared" si="63"/>
        <v>#REF!</v>
      </c>
      <c r="O98" s="33" t="str">
        <f t="shared" si="63"/>
        <v>#REF!</v>
      </c>
      <c r="P98" s="25" t="str">
        <f t="shared" ref="P98:R98" si="64">#REF!</f>
        <v>#REF!</v>
      </c>
      <c r="Q98" s="25" t="str">
        <f t="shared" si="64"/>
        <v>#REF!</v>
      </c>
      <c r="R98" s="25" t="str">
        <f t="shared" si="64"/>
        <v>#REF!</v>
      </c>
      <c r="S98" s="25" t="str">
        <f>Sensor!I41</f>
        <v/>
      </c>
      <c r="T98" s="25" t="str">
        <f>Sensor!J41</f>
        <v/>
      </c>
      <c r="U98" s="25" t="str">
        <f>Sensor!K41</f>
        <v/>
      </c>
      <c r="V98" s="25" t="str">
        <f>Sensor!L41</f>
        <v/>
      </c>
    </row>
    <row r="99">
      <c r="A99" s="9" t="s">
        <v>45</v>
      </c>
      <c r="B99" s="25" t="str">
        <f t="shared" ref="B99:C99" si="65">#REF!</f>
        <v>#REF!</v>
      </c>
      <c r="C99" s="25" t="str">
        <f t="shared" si="65"/>
        <v>#REF!</v>
      </c>
      <c r="D99" s="9" t="s">
        <v>46</v>
      </c>
      <c r="E99" s="9" t="s">
        <v>47</v>
      </c>
      <c r="F99" s="9" t="s">
        <v>48</v>
      </c>
      <c r="G99" s="9" t="s">
        <v>49</v>
      </c>
      <c r="H99" s="9" t="s">
        <v>50</v>
      </c>
      <c r="I99" s="9" t="s">
        <v>51</v>
      </c>
      <c r="J99" s="9" t="s">
        <v>52</v>
      </c>
      <c r="K99" s="9" t="s">
        <v>53</v>
      </c>
      <c r="L99" s="9" t="s">
        <v>54</v>
      </c>
      <c r="M99" s="9" t="s">
        <v>55</v>
      </c>
      <c r="N99" s="9" t="s">
        <v>56</v>
      </c>
      <c r="O99" s="9" t="s">
        <v>57</v>
      </c>
      <c r="P99" s="25" t="str">
        <f t="shared" ref="P99:R99" si="66">#REF!</f>
        <v>#REF!</v>
      </c>
      <c r="Q99" s="25" t="str">
        <f t="shared" si="66"/>
        <v>#REF!</v>
      </c>
      <c r="R99" s="25" t="str">
        <f t="shared" si="66"/>
        <v>#REF!</v>
      </c>
      <c r="S99" s="25" t="str">
        <f>Sensor!I42</f>
        <v/>
      </c>
      <c r="T99" s="25" t="str">
        <f>Sensor!J42</f>
        <v/>
      </c>
      <c r="U99" s="25" t="str">
        <f>Sensor!K42</f>
        <v/>
      </c>
      <c r="V99" s="25" t="str">
        <f>Sensor!L42</f>
        <v/>
      </c>
    </row>
    <row r="100">
      <c r="A100" s="25" t="str">
        <f>Sensor!A43</f>
        <v/>
      </c>
      <c r="B100" s="25" t="str">
        <f>Sensor!B43</f>
        <v/>
      </c>
      <c r="C100" s="25" t="str">
        <f>Sensor!C43</f>
        <v/>
      </c>
      <c r="D100" s="25" t="str">
        <f>Sensor!D43</f>
        <v/>
      </c>
      <c r="O100" s="25" t="str">
        <f>Sensor!E43</f>
        <v/>
      </c>
      <c r="P100" s="25" t="str">
        <f>Sensor!F43</f>
        <v/>
      </c>
      <c r="Q100" s="25" t="str">
        <f>Sensor!G43</f>
        <v/>
      </c>
      <c r="R100" s="25" t="str">
        <f>Sensor!H43</f>
        <v/>
      </c>
      <c r="S100" s="25" t="str">
        <f>Sensor!I43</f>
        <v/>
      </c>
      <c r="T100" s="25" t="str">
        <f>Sensor!J43</f>
        <v/>
      </c>
      <c r="U100" s="25" t="str">
        <f>Sensor!K43</f>
        <v/>
      </c>
      <c r="V100" s="25" t="str">
        <f>Sensor!L43</f>
        <v/>
      </c>
    </row>
    <row r="101">
      <c r="A101" s="25" t="str">
        <f>Sensor!A44</f>
        <v/>
      </c>
      <c r="B101" s="25" t="str">
        <f>Sensor!B44</f>
        <v/>
      </c>
      <c r="C101" s="25" t="str">
        <f>Sensor!C44</f>
        <v/>
      </c>
      <c r="D101" s="25" t="str">
        <f>Sensor!D44</f>
        <v/>
      </c>
      <c r="O101" s="25" t="str">
        <f>Sensor!E44</f>
        <v/>
      </c>
      <c r="P101" s="25" t="str">
        <f>Sensor!F44</f>
        <v/>
      </c>
      <c r="Q101" s="25" t="str">
        <f>Sensor!G44</f>
        <v/>
      </c>
      <c r="R101" s="25" t="str">
        <f>Sensor!H44</f>
        <v/>
      </c>
      <c r="S101" s="25" t="str">
        <f>Sensor!I44</f>
        <v/>
      </c>
      <c r="T101" s="25" t="str">
        <f>Sensor!J44</f>
        <v/>
      </c>
      <c r="U101" s="25" t="str">
        <f>Sensor!K44</f>
        <v/>
      </c>
      <c r="V101" s="25" t="str">
        <f>Sensor!L44</f>
        <v/>
      </c>
    </row>
    <row r="102">
      <c r="A102" s="25" t="str">
        <f>Sensor!A45</f>
        <v/>
      </c>
      <c r="B102" s="25" t="str">
        <f>Sensor!B45</f>
        <v/>
      </c>
      <c r="C102" s="25" t="str">
        <f>Sensor!C45</f>
        <v/>
      </c>
      <c r="D102" s="25" t="str">
        <f>Sensor!D45</f>
        <v/>
      </c>
      <c r="O102" s="25" t="str">
        <f>Sensor!E45</f>
        <v/>
      </c>
      <c r="P102" s="25" t="str">
        <f>Sensor!F45</f>
        <v/>
      </c>
      <c r="Q102" s="25" t="str">
        <f>Sensor!G45</f>
        <v/>
      </c>
      <c r="R102" s="25" t="str">
        <f>Sensor!H45</f>
        <v/>
      </c>
      <c r="S102" s="25" t="str">
        <f>Sensor!I45</f>
        <v/>
      </c>
      <c r="T102" s="25" t="str">
        <f>Sensor!J45</f>
        <v/>
      </c>
      <c r="U102" s="25" t="str">
        <f>Sensor!K45</f>
        <v/>
      </c>
      <c r="V102" s="25" t="str">
        <f>Sensor!L45</f>
        <v/>
      </c>
    </row>
    <row r="103">
      <c r="A103" s="25" t="str">
        <f>Sensor!A46</f>
        <v/>
      </c>
      <c r="B103" s="25" t="str">
        <f>Sensor!B46</f>
        <v/>
      </c>
      <c r="C103" s="25" t="str">
        <f>Sensor!C46</f>
        <v/>
      </c>
      <c r="D103" s="25" t="str">
        <f>Sensor!D46</f>
        <v/>
      </c>
      <c r="O103" s="25" t="str">
        <f>Sensor!E46</f>
        <v/>
      </c>
      <c r="P103" s="25" t="str">
        <f>Sensor!F46</f>
        <v/>
      </c>
      <c r="Q103" s="25" t="str">
        <f>Sensor!G46</f>
        <v/>
      </c>
      <c r="R103" s="25" t="str">
        <f>Sensor!H46</f>
        <v/>
      </c>
      <c r="S103" s="25" t="str">
        <f>Sensor!I46</f>
        <v/>
      </c>
      <c r="T103" s="25" t="str">
        <f>Sensor!J46</f>
        <v/>
      </c>
      <c r="U103" s="25" t="str">
        <f>Sensor!K46</f>
        <v/>
      </c>
      <c r="V103" s="25" t="str">
        <f>Sensor!L46</f>
        <v/>
      </c>
    </row>
    <row r="104">
      <c r="A104" s="25" t="str">
        <f>Sensor!A47</f>
        <v/>
      </c>
      <c r="B104" s="25" t="str">
        <f>Sensor!B47</f>
        <v/>
      </c>
      <c r="C104" s="25" t="str">
        <f>Sensor!C47</f>
        <v/>
      </c>
      <c r="D104" s="25" t="str">
        <f>Sensor!D47</f>
        <v/>
      </c>
      <c r="O104" s="25" t="str">
        <f>Sensor!E47</f>
        <v/>
      </c>
      <c r="P104" s="25" t="str">
        <f>Sensor!F47</f>
        <v/>
      </c>
      <c r="Q104" s="25" t="str">
        <f>Sensor!G47</f>
        <v/>
      </c>
      <c r="R104" s="25" t="str">
        <f>Sensor!H47</f>
        <v/>
      </c>
      <c r="S104" s="25" t="str">
        <f>Sensor!I47</f>
        <v/>
      </c>
      <c r="T104" s="25" t="str">
        <f>Sensor!J47</f>
        <v/>
      </c>
      <c r="U104" s="25" t="str">
        <f>Sensor!K47</f>
        <v/>
      </c>
      <c r="V104" s="25" t="str">
        <f>Sensor!L47</f>
        <v/>
      </c>
    </row>
    <row r="105">
      <c r="A105" s="25" t="str">
        <f>Sensor!A48</f>
        <v/>
      </c>
      <c r="B105" s="25" t="str">
        <f>Sensor!B48</f>
        <v/>
      </c>
      <c r="C105" s="25" t="str">
        <f>Sensor!C48</f>
        <v/>
      </c>
      <c r="D105" s="25" t="str">
        <f>Sensor!D48</f>
        <v/>
      </c>
      <c r="O105" s="25" t="str">
        <f>Sensor!E48</f>
        <v/>
      </c>
      <c r="P105" s="25" t="str">
        <f>Sensor!F48</f>
        <v/>
      </c>
      <c r="Q105" s="25" t="str">
        <f>Sensor!G48</f>
        <v/>
      </c>
      <c r="R105" s="25" t="str">
        <f>Sensor!H48</f>
        <v/>
      </c>
      <c r="S105" s="25" t="str">
        <f>Sensor!I48</f>
        <v/>
      </c>
      <c r="T105" s="25" t="str">
        <f>Sensor!J48</f>
        <v/>
      </c>
      <c r="U105" s="25" t="str">
        <f>Sensor!K48</f>
        <v/>
      </c>
      <c r="V105" s="25" t="str">
        <f>Sensor!L48</f>
        <v/>
      </c>
    </row>
    <row r="106">
      <c r="A106" s="25" t="str">
        <f>Sensor!A49</f>
        <v/>
      </c>
      <c r="B106" s="25" t="str">
        <f>Sensor!B49</f>
        <v/>
      </c>
      <c r="C106" s="25" t="str">
        <f>Sensor!C49</f>
        <v/>
      </c>
      <c r="D106" s="25" t="str">
        <f>Sensor!D49</f>
        <v/>
      </c>
      <c r="O106" s="25" t="str">
        <f>Sensor!E49</f>
        <v/>
      </c>
      <c r="P106" s="25" t="str">
        <f>Sensor!F49</f>
        <v/>
      </c>
      <c r="Q106" s="25" t="str">
        <f>Sensor!G49</f>
        <v/>
      </c>
      <c r="R106" s="25" t="str">
        <f>Sensor!H49</f>
        <v/>
      </c>
      <c r="S106" s="25" t="str">
        <f>Sensor!I49</f>
        <v/>
      </c>
      <c r="T106" s="25" t="str">
        <f>Sensor!J49</f>
        <v/>
      </c>
      <c r="U106" s="25" t="str">
        <f>Sensor!K49</f>
        <v/>
      </c>
      <c r="V106" s="25" t="str">
        <f>Sensor!L49</f>
        <v/>
      </c>
    </row>
    <row r="107">
      <c r="A107" s="25" t="str">
        <f>Sensor!A50</f>
        <v/>
      </c>
      <c r="B107" s="25" t="str">
        <f>Sensor!B50</f>
        <v/>
      </c>
      <c r="C107" s="25" t="str">
        <f>Sensor!C50</f>
        <v/>
      </c>
      <c r="D107" s="25" t="str">
        <f>Sensor!D50</f>
        <v/>
      </c>
      <c r="O107" s="25" t="str">
        <f>Sensor!E50</f>
        <v/>
      </c>
      <c r="P107" s="25" t="str">
        <f>Sensor!F50</f>
        <v/>
      </c>
      <c r="Q107" s="25" t="str">
        <f>Sensor!G50</f>
        <v/>
      </c>
      <c r="R107" s="25" t="str">
        <f>Sensor!H50</f>
        <v/>
      </c>
      <c r="S107" s="25" t="str">
        <f>Sensor!I50</f>
        <v/>
      </c>
      <c r="T107" s="25" t="str">
        <f>Sensor!J50</f>
        <v/>
      </c>
      <c r="U107" s="25" t="str">
        <f>Sensor!K50</f>
        <v/>
      </c>
      <c r="V107" s="25" t="str">
        <f>Sensor!L50</f>
        <v/>
      </c>
    </row>
    <row r="108">
      <c r="A108" s="25" t="str">
        <f>Sensor!A51</f>
        <v/>
      </c>
      <c r="B108" s="25" t="str">
        <f>Sensor!B51</f>
        <v/>
      </c>
      <c r="C108" s="25" t="str">
        <f>Sensor!C51</f>
        <v/>
      </c>
      <c r="D108" s="25" t="str">
        <f>Sensor!D51</f>
        <v/>
      </c>
      <c r="O108" s="25" t="str">
        <f>Sensor!E51</f>
        <v/>
      </c>
      <c r="P108" s="25" t="str">
        <f>Sensor!F51</f>
        <v/>
      </c>
      <c r="Q108" s="25" t="str">
        <f>Sensor!G51</f>
        <v/>
      </c>
      <c r="R108" s="25" t="str">
        <f>Sensor!H51</f>
        <v/>
      </c>
      <c r="S108" s="25" t="str">
        <f>Sensor!I51</f>
        <v/>
      </c>
      <c r="T108" s="25" t="str">
        <f>Sensor!J51</f>
        <v/>
      </c>
      <c r="U108" s="25" t="str">
        <f>Sensor!K51</f>
        <v/>
      </c>
      <c r="V108" s="25" t="str">
        <f>Sensor!L51</f>
        <v/>
      </c>
    </row>
    <row r="109">
      <c r="A109" s="25" t="str">
        <f>Sensor!A52</f>
        <v/>
      </c>
      <c r="B109" s="25" t="str">
        <f>Sensor!B52</f>
        <v/>
      </c>
      <c r="C109" s="25" t="str">
        <f>Sensor!C52</f>
        <v/>
      </c>
      <c r="D109" s="25" t="str">
        <f>Sensor!D52</f>
        <v/>
      </c>
      <c r="O109" s="25" t="str">
        <f>Sensor!E52</f>
        <v/>
      </c>
      <c r="P109" s="25" t="str">
        <f>Sensor!F52</f>
        <v/>
      </c>
      <c r="Q109" s="25" t="str">
        <f>Sensor!G52</f>
        <v/>
      </c>
      <c r="R109" s="25" t="str">
        <f>Sensor!H52</f>
        <v/>
      </c>
      <c r="S109" s="25" t="str">
        <f>Sensor!I52</f>
        <v/>
      </c>
      <c r="T109" s="25" t="str">
        <f>Sensor!J52</f>
        <v/>
      </c>
      <c r="U109" s="25" t="str">
        <f>Sensor!K52</f>
        <v/>
      </c>
      <c r="V109" s="25" t="str">
        <f>Sensor!L52</f>
        <v/>
      </c>
    </row>
    <row r="110">
      <c r="A110" s="25" t="str">
        <f>Sensor!A53</f>
        <v/>
      </c>
      <c r="B110" s="25" t="str">
        <f>Sensor!B53</f>
        <v/>
      </c>
      <c r="C110" s="25" t="str">
        <f>Sensor!C53</f>
        <v/>
      </c>
      <c r="D110" s="25" t="str">
        <f>Sensor!D53</f>
        <v/>
      </c>
      <c r="O110" s="25" t="str">
        <f>Sensor!E53</f>
        <v/>
      </c>
      <c r="P110" s="25" t="str">
        <f>Sensor!F53</f>
        <v/>
      </c>
      <c r="Q110" s="25" t="str">
        <f>Sensor!G53</f>
        <v/>
      </c>
      <c r="R110" s="25" t="str">
        <f>Sensor!H53</f>
        <v/>
      </c>
      <c r="S110" s="25" t="str">
        <f>Sensor!I53</f>
        <v/>
      </c>
      <c r="T110" s="25" t="str">
        <f>Sensor!J53</f>
        <v/>
      </c>
      <c r="U110" s="25" t="str">
        <f>Sensor!K53</f>
        <v/>
      </c>
      <c r="V110" s="25" t="str">
        <f>Sensor!L53</f>
        <v/>
      </c>
    </row>
    <row r="111">
      <c r="A111" s="25" t="str">
        <f>Sensor!A54</f>
        <v/>
      </c>
      <c r="B111" s="25" t="str">
        <f>Sensor!B54</f>
        <v/>
      </c>
      <c r="C111" s="25" t="str">
        <f>Sensor!C54</f>
        <v/>
      </c>
      <c r="D111" s="25" t="str">
        <f>Sensor!D54</f>
        <v/>
      </c>
      <c r="O111" s="25" t="str">
        <f>Sensor!E54</f>
        <v/>
      </c>
      <c r="P111" s="25" t="str">
        <f>Sensor!F54</f>
        <v/>
      </c>
      <c r="Q111" s="25" t="str">
        <f>Sensor!G54</f>
        <v/>
      </c>
      <c r="R111" s="25" t="str">
        <f>Sensor!H54</f>
        <v/>
      </c>
      <c r="S111" s="25" t="str">
        <f>Sensor!I54</f>
        <v/>
      </c>
      <c r="T111" s="25" t="str">
        <f>Sensor!J54</f>
        <v/>
      </c>
      <c r="U111" s="25" t="str">
        <f>Sensor!K54</f>
        <v/>
      </c>
      <c r="V111" s="25" t="str">
        <f>Sensor!L54</f>
        <v/>
      </c>
    </row>
    <row r="112">
      <c r="A112" s="25" t="str">
        <f>Sensor!A55</f>
        <v/>
      </c>
      <c r="B112" s="25" t="str">
        <f>Sensor!B55</f>
        <v/>
      </c>
      <c r="C112" s="25" t="str">
        <f>Sensor!C55</f>
        <v/>
      </c>
      <c r="D112" s="25" t="str">
        <f>Sensor!D55</f>
        <v/>
      </c>
      <c r="O112" s="25" t="str">
        <f>Sensor!E55</f>
        <v/>
      </c>
      <c r="P112" s="25" t="str">
        <f>Sensor!F55</f>
        <v/>
      </c>
      <c r="Q112" s="25" t="str">
        <f>Sensor!G55</f>
        <v/>
      </c>
      <c r="R112" s="25" t="str">
        <f>Sensor!H55</f>
        <v/>
      </c>
      <c r="S112" s="25" t="str">
        <f>Sensor!I55</f>
        <v/>
      </c>
      <c r="T112" s="25" t="str">
        <f>Sensor!J55</f>
        <v/>
      </c>
      <c r="U112" s="25" t="str">
        <f>Sensor!K55</f>
        <v/>
      </c>
      <c r="V112" s="25" t="str">
        <f>Sensor!L55</f>
        <v/>
      </c>
    </row>
    <row r="113">
      <c r="A113" s="25" t="str">
        <f>Sensor!A56</f>
        <v/>
      </c>
      <c r="B113" s="25" t="str">
        <f>Sensor!B56</f>
        <v/>
      </c>
      <c r="C113" s="25" t="str">
        <f>Sensor!C56</f>
        <v/>
      </c>
      <c r="D113" s="25" t="str">
        <f>Sensor!D56</f>
        <v/>
      </c>
      <c r="O113" s="25" t="str">
        <f>Sensor!E56</f>
        <v/>
      </c>
      <c r="P113" s="25" t="str">
        <f>Sensor!F56</f>
        <v/>
      </c>
      <c r="Q113" s="25" t="str">
        <f>Sensor!G56</f>
        <v/>
      </c>
      <c r="R113" s="25" t="str">
        <f>Sensor!H56</f>
        <v/>
      </c>
      <c r="S113" s="25" t="str">
        <f>Sensor!I56</f>
        <v/>
      </c>
      <c r="T113" s="25" t="str">
        <f>Sensor!J56</f>
        <v/>
      </c>
      <c r="U113" s="25" t="str">
        <f>Sensor!K56</f>
        <v/>
      </c>
      <c r="V113" s="25" t="str">
        <f>Sensor!L56</f>
        <v/>
      </c>
    </row>
    <row r="114">
      <c r="A114" s="25" t="str">
        <f>Sensor!A57</f>
        <v/>
      </c>
      <c r="B114" s="25" t="str">
        <f>Sensor!B57</f>
        <v/>
      </c>
      <c r="C114" s="25" t="str">
        <f>Sensor!C57</f>
        <v/>
      </c>
      <c r="D114" s="25" t="str">
        <f>Sensor!D57</f>
        <v/>
      </c>
      <c r="O114" s="25" t="str">
        <f>Sensor!E57</f>
        <v/>
      </c>
      <c r="P114" s="25" t="str">
        <f>Sensor!F57</f>
        <v/>
      </c>
      <c r="Q114" s="25" t="str">
        <f>Sensor!G57</f>
        <v/>
      </c>
      <c r="R114" s="25" t="str">
        <f>Sensor!H57</f>
        <v/>
      </c>
      <c r="S114" s="25" t="str">
        <f>Sensor!I57</f>
        <v/>
      </c>
      <c r="T114" s="25" t="str">
        <f>Sensor!J57</f>
        <v/>
      </c>
      <c r="U114" s="25" t="str">
        <f>Sensor!K57</f>
        <v/>
      </c>
      <c r="V114" s="25" t="str">
        <f>Sensor!L57</f>
        <v/>
      </c>
    </row>
    <row r="115">
      <c r="A115" s="25" t="str">
        <f>Sensor!A58</f>
        <v/>
      </c>
      <c r="B115" s="25" t="str">
        <f>Sensor!B58</f>
        <v/>
      </c>
      <c r="C115" s="25" t="str">
        <f>Sensor!C58</f>
        <v/>
      </c>
      <c r="D115" s="25" t="str">
        <f>Sensor!D58</f>
        <v/>
      </c>
      <c r="O115" s="25" t="str">
        <f>Sensor!E58</f>
        <v/>
      </c>
      <c r="P115" s="25" t="str">
        <f>Sensor!F58</f>
        <v/>
      </c>
      <c r="Q115" s="25" t="str">
        <f>Sensor!G58</f>
        <v/>
      </c>
      <c r="R115" s="25" t="str">
        <f>Sensor!H58</f>
        <v/>
      </c>
      <c r="S115" s="25" t="str">
        <f>Sensor!I58</f>
        <v/>
      </c>
      <c r="T115" s="25" t="str">
        <f>Sensor!J58</f>
        <v/>
      </c>
      <c r="U115" s="25" t="str">
        <f>Sensor!K58</f>
        <v/>
      </c>
      <c r="V115" s="25" t="str">
        <f>Sensor!L58</f>
        <v/>
      </c>
    </row>
    <row r="116">
      <c r="A116" s="25" t="str">
        <f>Sensor!A59</f>
        <v/>
      </c>
      <c r="B116" s="25" t="str">
        <f>Sensor!B59</f>
        <v/>
      </c>
      <c r="C116" s="25" t="str">
        <f>Sensor!C59</f>
        <v/>
      </c>
      <c r="D116" s="25" t="str">
        <f>Sensor!D59</f>
        <v/>
      </c>
      <c r="O116" s="25" t="str">
        <f>Sensor!E59</f>
        <v/>
      </c>
      <c r="P116" s="25" t="str">
        <f>Sensor!F59</f>
        <v/>
      </c>
      <c r="Q116" s="25" t="str">
        <f>Sensor!G59</f>
        <v/>
      </c>
      <c r="R116" s="25" t="str">
        <f>Sensor!H59</f>
        <v/>
      </c>
      <c r="S116" s="25" t="str">
        <f>Sensor!I59</f>
        <v/>
      </c>
      <c r="T116" s="25" t="str">
        <f>Sensor!J59</f>
        <v/>
      </c>
      <c r="U116" s="25" t="str">
        <f>Sensor!K59</f>
        <v/>
      </c>
      <c r="V116" s="25" t="str">
        <f>Sensor!L59</f>
        <v/>
      </c>
    </row>
    <row r="117">
      <c r="A117" s="25" t="str">
        <f>Sensor!A60</f>
        <v/>
      </c>
      <c r="B117" s="25" t="str">
        <f>Sensor!B60</f>
        <v/>
      </c>
      <c r="C117" s="25" t="str">
        <f>Sensor!C60</f>
        <v/>
      </c>
      <c r="D117" s="25" t="str">
        <f>Sensor!D60</f>
        <v/>
      </c>
      <c r="O117" s="25" t="str">
        <f>Sensor!E60</f>
        <v/>
      </c>
      <c r="P117" s="25" t="str">
        <f>Sensor!F60</f>
        <v/>
      </c>
      <c r="Q117" s="25" t="str">
        <f>Sensor!G60</f>
        <v/>
      </c>
      <c r="R117" s="25" t="str">
        <f>Sensor!H60</f>
        <v/>
      </c>
      <c r="S117" s="25" t="str">
        <f>Sensor!I60</f>
        <v/>
      </c>
      <c r="T117" s="25" t="str">
        <f>Sensor!J60</f>
        <v/>
      </c>
      <c r="U117" s="25" t="str">
        <f>Sensor!K60</f>
        <v/>
      </c>
      <c r="V117" s="25" t="str">
        <f>Sensor!L60</f>
        <v/>
      </c>
    </row>
    <row r="118">
      <c r="A118" s="25" t="str">
        <f>Sensor!A61</f>
        <v/>
      </c>
      <c r="B118" s="25" t="str">
        <f>Sensor!B61</f>
        <v/>
      </c>
      <c r="C118" s="25" t="str">
        <f>Sensor!C61</f>
        <v/>
      </c>
      <c r="D118" s="25" t="str">
        <f>Sensor!D61</f>
        <v/>
      </c>
      <c r="O118" s="25" t="str">
        <f>Sensor!E61</f>
        <v/>
      </c>
      <c r="P118" s="25" t="str">
        <f>Sensor!F61</f>
        <v/>
      </c>
      <c r="Q118" s="25" t="str">
        <f>Sensor!G61</f>
        <v/>
      </c>
      <c r="R118" s="25" t="str">
        <f>Sensor!H61</f>
        <v/>
      </c>
      <c r="S118" s="25" t="str">
        <f>Sensor!I61</f>
        <v/>
      </c>
      <c r="T118" s="25" t="str">
        <f>Sensor!J61</f>
        <v/>
      </c>
      <c r="U118" s="25" t="str">
        <f>Sensor!K61</f>
        <v/>
      </c>
      <c r="V118" s="25" t="str">
        <f>Sensor!L61</f>
        <v/>
      </c>
    </row>
  </sheetData>
  <drawing r:id="rId1"/>
</worksheet>
</file>